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E639" lockStructure="1"/>
  <bookViews>
    <workbookView xWindow="-180" yWindow="-30" windowWidth="13650" windowHeight="11760"/>
  </bookViews>
  <sheets>
    <sheet name="Calculator" sheetId="4" r:id="rId1"/>
    <sheet name="Sheet2" sheetId="2" r:id="rId2"/>
    <sheet name="Sheet3" sheetId="3" r:id="rId3"/>
  </sheets>
  <definedNames>
    <definedName name="_xlnm.Print_Area" localSheetId="0">Calculator!$A$1:$I$73</definedName>
  </definedNames>
  <calcPr calcId="145621"/>
</workbook>
</file>

<file path=xl/calcChain.xml><?xml version="1.0" encoding="utf-8"?>
<calcChain xmlns="http://schemas.openxmlformats.org/spreadsheetml/2006/main">
  <c r="H7" i="4" l="1"/>
  <c r="G7" i="4"/>
  <c r="C58" i="4"/>
  <c r="C60" i="4"/>
  <c r="C59" i="4"/>
  <c r="G43" i="4"/>
  <c r="C63" i="4"/>
  <c r="H4" i="4"/>
  <c r="H5" i="4"/>
  <c r="H18" i="4"/>
  <c r="G25" i="4"/>
  <c r="G32" i="4"/>
  <c r="G4" i="4"/>
  <c r="G34" i="4"/>
  <c r="G36" i="4"/>
  <c r="G39" i="4"/>
  <c r="G13" i="4"/>
  <c r="G9" i="4"/>
  <c r="G10" i="4"/>
  <c r="G48" i="4"/>
  <c r="G49" i="4"/>
  <c r="G50" i="4"/>
  <c r="G51" i="4"/>
  <c r="G52" i="4"/>
  <c r="G54" i="4"/>
  <c r="G46" i="4"/>
  <c r="G31" i="4"/>
  <c r="G5" i="4"/>
  <c r="G6" i="4"/>
  <c r="G8" i="4"/>
  <c r="G11" i="4"/>
  <c r="G12" i="4"/>
  <c r="G14" i="4"/>
  <c r="G15" i="4"/>
  <c r="G21" i="4"/>
  <c r="G23" i="4"/>
  <c r="G24" i="4"/>
  <c r="G26" i="4"/>
  <c r="G27" i="4"/>
  <c r="G28" i="4"/>
  <c r="G29" i="4"/>
  <c r="G35" i="4"/>
  <c r="G37" i="4"/>
  <c r="G38" i="4"/>
  <c r="G40" i="4"/>
  <c r="G42" i="4"/>
  <c r="G44" i="4"/>
  <c r="G45" i="4"/>
  <c r="G53" i="4"/>
  <c r="G17" i="4"/>
  <c r="G18" i="4"/>
  <c r="G19" i="4"/>
  <c r="G20" i="4"/>
  <c r="H9" i="4"/>
  <c r="H10" i="4"/>
  <c r="H6" i="4"/>
  <c r="H8" i="4"/>
  <c r="H11" i="4"/>
  <c r="H12" i="4"/>
  <c r="H13" i="4"/>
  <c r="H14" i="4"/>
  <c r="H15" i="4"/>
  <c r="H17" i="4"/>
  <c r="H19" i="4"/>
  <c r="C57" i="4" s="1"/>
  <c r="H20" i="4"/>
  <c r="K60" i="4"/>
  <c r="C62" i="4" l="1"/>
  <c r="C56" i="4"/>
  <c r="G57" i="4"/>
  <c r="G62" i="4" s="1"/>
  <c r="G60" i="4" l="1"/>
  <c r="Q65" i="4"/>
  <c r="Q66" i="4" s="1"/>
  <c r="Q67" i="4" s="1"/>
  <c r="Q68" i="4" s="1"/>
  <c r="Q69" i="4" s="1"/>
  <c r="Q70" i="4" s="1"/>
  <c r="Q71" i="4" s="1"/>
  <c r="Q72" i="4" s="1"/>
  <c r="G59" i="4" s="1"/>
  <c r="G63" i="4" l="1"/>
</calcChain>
</file>

<file path=xl/sharedStrings.xml><?xml version="1.0" encoding="utf-8"?>
<sst xmlns="http://schemas.openxmlformats.org/spreadsheetml/2006/main" count="160" uniqueCount="95">
  <si>
    <t>Unit</t>
  </si>
  <si>
    <t>Case</t>
  </si>
  <si>
    <t>Jug</t>
  </si>
  <si>
    <t>Bag</t>
  </si>
  <si>
    <t># Units Purchased</t>
  </si>
  <si>
    <t xml:space="preserve"> </t>
  </si>
  <si>
    <t>Qualifying Acres/Unit</t>
  </si>
  <si>
    <t>Savings Levels</t>
  </si>
  <si>
    <t>Drum</t>
  </si>
  <si>
    <t>Total Dollars</t>
  </si>
  <si>
    <t>Total Sales</t>
  </si>
  <si>
    <t>160/20</t>
  </si>
  <si>
    <t># Units/bushels Purchased</t>
  </si>
  <si>
    <t>Input Required</t>
  </si>
  <si>
    <t>$10,000 - $24,999</t>
  </si>
  <si>
    <t>$25,000 - $44,999</t>
  </si>
  <si>
    <t>$45,000 - $59,999</t>
  </si>
  <si>
    <t>$60,000 - $79,999</t>
  </si>
  <si>
    <t>$80,000 - $99,999</t>
  </si>
  <si>
    <t>% Savings Reward</t>
  </si>
  <si>
    <t>Total Seed Care Acres</t>
  </si>
  <si>
    <t>Litre Equ</t>
  </si>
  <si>
    <t>56.78 L Keg</t>
  </si>
  <si>
    <t>Non-Selective Products</t>
  </si>
  <si>
    <t>Horticulture Products</t>
  </si>
  <si>
    <r>
      <t>Horizon</t>
    </r>
    <r>
      <rPr>
        <sz val="12"/>
        <rFont val="Calibri"/>
        <family val="2"/>
      </rPr>
      <t>®</t>
    </r>
    <r>
      <rPr>
        <sz val="12"/>
        <rFont val="Arial Narrow"/>
        <family val="2"/>
      </rPr>
      <t xml:space="preserve"> NG </t>
    </r>
  </si>
  <si>
    <r>
      <t>Axial</t>
    </r>
    <r>
      <rPr>
        <sz val="12"/>
        <rFont val="Calibri"/>
        <family val="2"/>
      </rPr>
      <t>®</t>
    </r>
  </si>
  <si>
    <r>
      <t>Target</t>
    </r>
    <r>
      <rPr>
        <sz val="12"/>
        <rFont val="Calibri"/>
        <family val="2"/>
      </rPr>
      <t>®</t>
    </r>
  </si>
  <si>
    <r>
      <t>Cruiser Maxx</t>
    </r>
    <r>
      <rPr>
        <sz val="12"/>
        <rFont val="Calibri"/>
        <family val="2"/>
      </rPr>
      <t>®</t>
    </r>
    <r>
      <rPr>
        <sz val="12"/>
        <rFont val="Arial Narrow"/>
        <family val="2"/>
      </rPr>
      <t xml:space="preserve"> Cereals</t>
    </r>
  </si>
  <si>
    <r>
      <t>Dividend XL RTA</t>
    </r>
    <r>
      <rPr>
        <sz val="12"/>
        <rFont val="Calibri"/>
        <family val="2"/>
      </rPr>
      <t>®</t>
    </r>
  </si>
  <si>
    <r>
      <t>Quadris</t>
    </r>
    <r>
      <rPr>
        <sz val="12"/>
        <rFont val="Calibri"/>
        <family val="2"/>
      </rPr>
      <t>®</t>
    </r>
  </si>
  <si>
    <r>
      <t>Quilt</t>
    </r>
    <r>
      <rPr>
        <sz val="12"/>
        <rFont val="Calibri"/>
        <family val="2"/>
      </rPr>
      <t>®</t>
    </r>
  </si>
  <si>
    <r>
      <t>Tilt</t>
    </r>
    <r>
      <rPr>
        <sz val="12"/>
        <rFont val="Calibri"/>
        <family val="2"/>
      </rPr>
      <t>®</t>
    </r>
  </si>
  <si>
    <r>
      <t>Matador</t>
    </r>
    <r>
      <rPr>
        <sz val="12"/>
        <rFont val="Calibri"/>
        <family val="2"/>
      </rPr>
      <t>®</t>
    </r>
  </si>
  <si>
    <r>
      <t>Reglone</t>
    </r>
    <r>
      <rPr>
        <sz val="12"/>
        <rFont val="Calibri"/>
        <family val="2"/>
      </rPr>
      <t>®</t>
    </r>
    <r>
      <rPr>
        <sz val="12"/>
        <rFont val="Arial Narrow"/>
        <family val="2"/>
      </rPr>
      <t xml:space="preserve"> 240</t>
    </r>
  </si>
  <si>
    <r>
      <t>Touchdown Total</t>
    </r>
    <r>
      <rPr>
        <sz val="12"/>
        <rFont val="Calibri"/>
        <family val="2"/>
      </rPr>
      <t>®</t>
    </r>
  </si>
  <si>
    <r>
      <t>Actara</t>
    </r>
    <r>
      <rPr>
        <sz val="12"/>
        <rFont val="Calibri"/>
        <family val="2"/>
      </rPr>
      <t>®</t>
    </r>
    <r>
      <rPr>
        <sz val="12"/>
        <rFont val="Arial Narrow"/>
        <family val="2"/>
      </rPr>
      <t xml:space="preserve"> 240</t>
    </r>
  </si>
  <si>
    <r>
      <t>Gramoxone</t>
    </r>
    <r>
      <rPr>
        <sz val="12"/>
        <rFont val="Calibri"/>
        <family val="2"/>
      </rPr>
      <t>®</t>
    </r>
  </si>
  <si>
    <r>
      <t>Maxim</t>
    </r>
    <r>
      <rPr>
        <sz val="12"/>
        <rFont val="Calibri"/>
        <family val="2"/>
      </rPr>
      <t>®</t>
    </r>
    <r>
      <rPr>
        <sz val="12"/>
        <rFont val="Arial Narrow"/>
        <family val="2"/>
      </rPr>
      <t xml:space="preserve"> PSP</t>
    </r>
  </si>
  <si>
    <r>
      <t>Reflex</t>
    </r>
    <r>
      <rPr>
        <sz val="12"/>
        <rFont val="Calibri"/>
        <family val="2"/>
      </rPr>
      <t>®</t>
    </r>
  </si>
  <si>
    <r>
      <t>Ridomil Gold</t>
    </r>
    <r>
      <rPr>
        <sz val="12"/>
        <rFont val="Calibri"/>
        <family val="2"/>
      </rPr>
      <t xml:space="preserve">® </t>
    </r>
    <r>
      <rPr>
        <sz val="12"/>
        <rFont val="Arial Narrow"/>
        <family val="2"/>
      </rPr>
      <t>Bravo</t>
    </r>
    <r>
      <rPr>
        <sz val="12"/>
        <rFont val="Calibri"/>
        <family val="2"/>
      </rPr>
      <t>®</t>
    </r>
  </si>
  <si>
    <r>
      <t>Avenge</t>
    </r>
    <r>
      <rPr>
        <sz val="12"/>
        <rFont val="Calibri"/>
        <family val="2"/>
      </rPr>
      <t>®</t>
    </r>
  </si>
  <si>
    <t>Fungicide &amp; Insecticide Products</t>
  </si>
  <si>
    <t>Total Reward***</t>
  </si>
  <si>
    <r>
      <t>Astound</t>
    </r>
    <r>
      <rPr>
        <sz val="12"/>
        <rFont val="Calibri"/>
        <family val="2"/>
      </rPr>
      <t>®</t>
    </r>
  </si>
  <si>
    <t>$100,000 - $149,999</t>
  </si>
  <si>
    <t>$150,000 +</t>
  </si>
  <si>
    <t>Bushel</t>
  </si>
  <si>
    <r>
      <t>Allegro</t>
    </r>
    <r>
      <rPr>
        <sz val="12"/>
        <rFont val="Calibri"/>
        <family val="2"/>
      </rPr>
      <t>®</t>
    </r>
  </si>
  <si>
    <r>
      <t>Helix Xtra</t>
    </r>
    <r>
      <rPr>
        <sz val="12"/>
        <rFont val="Calibri"/>
        <family val="2"/>
      </rPr>
      <t>®</t>
    </r>
    <r>
      <rPr>
        <sz val="12"/>
        <rFont val="Arial Narrow"/>
        <family val="2"/>
      </rPr>
      <t xml:space="preserve"> </t>
    </r>
    <r>
      <rPr>
        <sz val="10"/>
        <rFont val="Arial Narrow"/>
        <family val="2"/>
      </rPr>
      <t>(Builder Product Only)*</t>
    </r>
  </si>
  <si>
    <t>Total Qualifying Graminicide Acres</t>
  </si>
  <si>
    <t>Total Qualifying Dicot Acres</t>
  </si>
  <si>
    <t>115 L Tote</t>
  </si>
  <si>
    <r>
      <t>Bravo</t>
    </r>
    <r>
      <rPr>
        <sz val="12"/>
        <rFont val="Calibri"/>
        <family val="2"/>
      </rPr>
      <t>® ZN</t>
    </r>
  </si>
  <si>
    <r>
      <t>Axial</t>
    </r>
    <r>
      <rPr>
        <sz val="12"/>
        <rFont val="Arial Narrow"/>
        <family val="2"/>
      </rPr>
      <t xml:space="preserve"> Bulk</t>
    </r>
  </si>
  <si>
    <r>
      <t>Revus</t>
    </r>
    <r>
      <rPr>
        <vertAlign val="superscript"/>
        <sz val="12"/>
        <rFont val="Arial Narrow"/>
        <family val="2"/>
      </rPr>
      <t>®</t>
    </r>
  </si>
  <si>
    <t xml:space="preserve">Syngenta Wheat Seed </t>
  </si>
  <si>
    <t>Pre-Seed Bonus****</t>
  </si>
  <si>
    <t>Crop Management Bonus****</t>
  </si>
  <si>
    <r>
      <t xml:space="preserve">5600 &amp; 5700 Wheat </t>
    </r>
    <r>
      <rPr>
        <sz val="10"/>
        <rFont val="Arial Narrow"/>
        <family val="2"/>
      </rPr>
      <t>(Builder Products Only)*</t>
    </r>
  </si>
  <si>
    <t>Package</t>
  </si>
  <si>
    <r>
      <t>Seedcare</t>
    </r>
    <r>
      <rPr>
        <b/>
        <sz val="12"/>
        <rFont val="Arial"/>
        <family val="2"/>
      </rPr>
      <t>™</t>
    </r>
    <r>
      <rPr>
        <b/>
        <sz val="12"/>
        <rFont val="Arial Narrow"/>
        <family val="2"/>
      </rPr>
      <t xml:space="preserve"> Products</t>
    </r>
  </si>
  <si>
    <t>2012 Calculator</t>
  </si>
  <si>
    <t>113 L</t>
  </si>
  <si>
    <r>
      <t>Axial</t>
    </r>
    <r>
      <rPr>
        <sz val="12"/>
        <rFont val="Calibri"/>
        <family val="2"/>
      </rPr>
      <t>®</t>
    </r>
    <r>
      <rPr>
        <sz val="12"/>
        <rFont val="Arial Narrow"/>
        <family val="2"/>
      </rPr>
      <t xml:space="preserve"> iPak</t>
    </r>
    <r>
      <rPr>
        <sz val="12"/>
        <rFont val="Arial"/>
        <family val="2"/>
      </rPr>
      <t>™</t>
    </r>
  </si>
  <si>
    <t>2012 Qualifying Acres Calculation</t>
  </si>
  <si>
    <t>Graminicides</t>
  </si>
  <si>
    <t>Broadleaf Herbicides</t>
  </si>
  <si>
    <t>2012 SRP</t>
  </si>
  <si>
    <t>Total Touchdown/Traxion Acres</t>
  </si>
  <si>
    <t>2011 SRP</t>
  </si>
  <si>
    <t>Total WR859 CL Acres***</t>
  </si>
  <si>
    <t>2012 SRP*****</t>
  </si>
  <si>
    <t>Crop Enhancement Graminicide Acres</t>
  </si>
  <si>
    <t>Crop Enhancement Astound/Quilt Acres</t>
  </si>
  <si>
    <r>
      <t>Axial</t>
    </r>
    <r>
      <rPr>
        <sz val="12"/>
        <rFont val="Calibri"/>
        <family val="2"/>
      </rPr>
      <t>®</t>
    </r>
    <r>
      <rPr>
        <sz val="12"/>
        <rFont val="Arial Narrow"/>
        <family val="2"/>
      </rPr>
      <t xml:space="preserve"> Xtreme</t>
    </r>
  </si>
  <si>
    <r>
      <t>Broadband</t>
    </r>
    <r>
      <rPr>
        <sz val="11"/>
        <rFont val="Calibri"/>
        <family val="2"/>
        <scheme val="minor"/>
      </rPr>
      <t>®</t>
    </r>
  </si>
  <si>
    <r>
      <t>Broadband</t>
    </r>
    <r>
      <rPr>
        <sz val="11"/>
        <rFont val="Calibri"/>
        <family val="2"/>
        <scheme val="minor"/>
      </rPr>
      <t>®</t>
    </r>
    <r>
      <rPr>
        <sz val="12"/>
        <rFont val="Arial Narrow"/>
        <family val="2"/>
      </rPr>
      <t xml:space="preserve"> Bulk</t>
    </r>
  </si>
  <si>
    <r>
      <t>Horizon NG</t>
    </r>
    <r>
      <rPr>
        <sz val="12"/>
        <rFont val="Calibri"/>
        <family val="2"/>
        <scheme val="minor"/>
      </rPr>
      <t>®</t>
    </r>
    <r>
      <rPr>
        <sz val="12"/>
        <rFont val="Arial Narrow"/>
        <family val="2"/>
      </rPr>
      <t xml:space="preserve"> Bulk</t>
    </r>
  </si>
  <si>
    <r>
      <t>Sierra</t>
    </r>
    <r>
      <rPr>
        <sz val="12"/>
        <rFont val="Calibri"/>
        <family val="2"/>
        <scheme val="minor"/>
      </rPr>
      <t>®</t>
    </r>
    <r>
      <rPr>
        <sz val="12"/>
        <rFont val="Arial Narrow"/>
        <family val="2"/>
      </rPr>
      <t xml:space="preserve"> 2.0</t>
    </r>
  </si>
  <si>
    <r>
      <t>Traxos</t>
    </r>
    <r>
      <rPr>
        <sz val="12"/>
        <rFont val="Calibri"/>
        <family val="2"/>
      </rPr>
      <t>®</t>
    </r>
  </si>
  <si>
    <r>
      <t>Traxos</t>
    </r>
    <r>
      <rPr>
        <sz val="12"/>
        <rFont val="Calibri"/>
        <family val="2"/>
        <scheme val="minor"/>
      </rPr>
      <t>®</t>
    </r>
    <r>
      <rPr>
        <sz val="12"/>
        <rFont val="Calibri"/>
        <family val="2"/>
      </rPr>
      <t xml:space="preserve"> Bulk</t>
    </r>
  </si>
  <si>
    <r>
      <t>Pulsar</t>
    </r>
    <r>
      <rPr>
        <sz val="12"/>
        <rFont val="Calibri"/>
        <family val="2"/>
      </rPr>
      <t>®</t>
    </r>
  </si>
  <si>
    <r>
      <t>Pulsar</t>
    </r>
    <r>
      <rPr>
        <sz val="12"/>
        <rFont val="Calibri"/>
        <family val="2"/>
        <scheme val="minor"/>
      </rPr>
      <t>®</t>
    </r>
    <r>
      <rPr>
        <sz val="12"/>
        <rFont val="Calibri"/>
        <family val="2"/>
      </rPr>
      <t xml:space="preserve"> Bulk</t>
    </r>
  </si>
  <si>
    <r>
      <t>Target</t>
    </r>
    <r>
      <rPr>
        <sz val="12"/>
        <rFont val="Calibri"/>
        <family val="2"/>
        <scheme val="minor"/>
      </rPr>
      <t>®</t>
    </r>
    <r>
      <rPr>
        <sz val="12"/>
        <rFont val="Calibri"/>
        <family val="2"/>
      </rPr>
      <t xml:space="preserve"> Bulk</t>
    </r>
  </si>
  <si>
    <r>
      <t>Apron Maxx</t>
    </r>
    <r>
      <rPr>
        <sz val="12"/>
        <rFont val="Calibri"/>
        <family val="2"/>
        <scheme val="minor"/>
      </rPr>
      <t>®</t>
    </r>
    <r>
      <rPr>
        <sz val="12"/>
        <rFont val="Arial Narrow"/>
        <family val="2"/>
      </rPr>
      <t xml:space="preserve"> RTA</t>
    </r>
    <r>
      <rPr>
        <sz val="12"/>
        <rFont val="Calibri"/>
        <family val="2"/>
      </rPr>
      <t>®</t>
    </r>
  </si>
  <si>
    <r>
      <t>Cruiser Maxx</t>
    </r>
    <r>
      <rPr>
        <sz val="12"/>
        <rFont val="Calibri"/>
        <family val="2"/>
        <scheme val="minor"/>
      </rPr>
      <t>®</t>
    </r>
    <r>
      <rPr>
        <sz val="12"/>
        <rFont val="Arial Narrow"/>
        <family val="2"/>
      </rPr>
      <t xml:space="preserve"> Cereals</t>
    </r>
  </si>
  <si>
    <r>
      <t>Cruiser Maxx</t>
    </r>
    <r>
      <rPr>
        <sz val="12"/>
        <rFont val="Calibri"/>
        <family val="2"/>
        <scheme val="minor"/>
      </rPr>
      <t>®</t>
    </r>
    <r>
      <rPr>
        <sz val="12"/>
        <rFont val="Arial Narrow"/>
        <family val="2"/>
      </rPr>
      <t xml:space="preserve"> Beans</t>
    </r>
  </si>
  <si>
    <r>
      <t>Cruiser Maxx</t>
    </r>
    <r>
      <rPr>
        <sz val="12"/>
        <rFont val="Calibri"/>
        <family val="2"/>
        <scheme val="minor"/>
      </rPr>
      <t>®</t>
    </r>
    <r>
      <rPr>
        <sz val="12"/>
        <rFont val="Arial Narrow"/>
        <family val="2"/>
      </rPr>
      <t xml:space="preserve"> Pulses**</t>
    </r>
  </si>
  <si>
    <t>WR859 CL</t>
  </si>
  <si>
    <r>
      <t>Pace</t>
    </r>
    <r>
      <rPr>
        <sz val="12"/>
        <rFont val="Calibri"/>
        <family val="2"/>
        <scheme val="minor"/>
      </rPr>
      <t>®</t>
    </r>
  </si>
  <si>
    <r>
      <t>Takkle</t>
    </r>
    <r>
      <rPr>
        <sz val="12"/>
        <rFont val="Calibri"/>
        <family val="2"/>
        <scheme val="minor"/>
      </rPr>
      <t>®</t>
    </r>
  </si>
  <si>
    <r>
      <t>Traxion</t>
    </r>
    <r>
      <rPr>
        <sz val="12"/>
        <rFont val="Calibri"/>
        <family val="2"/>
        <scheme val="minor"/>
      </rPr>
      <t>®</t>
    </r>
    <r>
      <rPr>
        <sz val="12"/>
        <rFont val="Arial Narrow"/>
        <family val="2"/>
      </rPr>
      <t xml:space="preserve"> </t>
    </r>
    <r>
      <rPr>
        <sz val="10"/>
        <rFont val="Arial Narrow"/>
        <family val="2"/>
      </rPr>
      <t>(Builder Product only)</t>
    </r>
    <r>
      <rPr>
        <sz val="12"/>
        <rFont val="Arial Narrow"/>
        <family val="2"/>
      </rPr>
      <t>*</t>
    </r>
  </si>
  <si>
    <r>
      <t>Maxim</t>
    </r>
    <r>
      <rPr>
        <sz val="12"/>
        <rFont val="Calibri"/>
        <family val="2"/>
        <scheme val="minor"/>
      </rPr>
      <t>®</t>
    </r>
    <r>
      <rPr>
        <sz val="12"/>
        <rFont val="Arial Narrow"/>
        <family val="2"/>
      </rPr>
      <t xml:space="preserve"> MZ</t>
    </r>
  </si>
  <si>
    <r>
      <t>Dual</t>
    </r>
    <r>
      <rPr>
        <sz val="12"/>
        <rFont val="Arial Narrow"/>
        <family val="2"/>
      </rPr>
      <t xml:space="preserve"> II Magnum</t>
    </r>
    <r>
      <rPr>
        <sz val="12"/>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</si>
</sst>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quot;$&quot;* #,##0.00_-;_-&quot;$&quot;* &quot;-&quot;??_-;_-@_-"/>
    <numFmt numFmtId="164" formatCode="_(&quot;$&quot;* #,##0.00_);_(&quot;$&quot;* \(#,##0.00\);_(&quot;$&quot;* &quot;-&quot;??_);_(@_)"/>
    <numFmt numFmtId="165" formatCode="&quot;$&quot;#,##0.00"/>
    <numFmt numFmtId="166" formatCode="[$-1009]mmmm\ d\,\ yyyy;@"/>
  </numFmts>
  <fonts count="25" x14ac:knownFonts="1">
    <font>
      <sz val="10"/>
      <name val="Arial"/>
    </font>
    <font>
      <sz val="10"/>
      <name val="Arial"/>
      <family val="2"/>
    </font>
    <font>
      <sz val="12"/>
      <name val="Arial Narrow"/>
      <family val="2"/>
    </font>
    <font>
      <b/>
      <sz val="12"/>
      <name val="Arial Narrow"/>
      <family val="2"/>
    </font>
    <font>
      <sz val="8"/>
      <name val="Arial"/>
      <family val="2"/>
    </font>
    <font>
      <b/>
      <sz val="22"/>
      <name val="Arial Narrow"/>
      <family val="2"/>
    </font>
    <font>
      <b/>
      <sz val="12"/>
      <color indexed="9"/>
      <name val="Arial Narrow"/>
      <family val="2"/>
    </font>
    <font>
      <sz val="12"/>
      <color indexed="9"/>
      <name val="Arial Narrow"/>
      <family val="2"/>
    </font>
    <font>
      <sz val="10"/>
      <name val="Arial Narrow"/>
      <family val="2"/>
    </font>
    <font>
      <i/>
      <sz val="10"/>
      <name val="Arial Narrow"/>
      <family val="2"/>
    </font>
    <font>
      <i/>
      <sz val="12"/>
      <name val="Arial Narrow"/>
      <family val="2"/>
    </font>
    <font>
      <sz val="12"/>
      <name val="Arial"/>
      <family val="2"/>
    </font>
    <font>
      <sz val="12"/>
      <name val="Calibri"/>
      <family val="2"/>
    </font>
    <font>
      <sz val="6"/>
      <name val="Arial Narrow"/>
      <family val="2"/>
    </font>
    <font>
      <i/>
      <sz val="11"/>
      <name val="Arial Narrow"/>
      <family val="2"/>
    </font>
    <font>
      <b/>
      <sz val="12"/>
      <color indexed="9"/>
      <name val="Arial Narrow"/>
      <family val="2"/>
    </font>
    <font>
      <b/>
      <sz val="14"/>
      <color indexed="9"/>
      <name val="Arial Narrow"/>
      <family val="2"/>
    </font>
    <font>
      <sz val="12"/>
      <color indexed="9"/>
      <name val="Arial Narrow"/>
      <family val="2"/>
    </font>
    <font>
      <vertAlign val="superscript"/>
      <sz val="12"/>
      <name val="Arial Narrow"/>
      <family val="2"/>
    </font>
    <font>
      <b/>
      <sz val="14"/>
      <name val="Arial Narrow"/>
      <family val="2"/>
    </font>
    <font>
      <b/>
      <sz val="12"/>
      <name val="Arial"/>
      <family val="2"/>
    </font>
    <font>
      <sz val="12"/>
      <color theme="0"/>
      <name val="Arial Narrow"/>
      <family val="2"/>
    </font>
    <font>
      <b/>
      <sz val="12"/>
      <color theme="0"/>
      <name val="Arial Narrow"/>
      <family val="2"/>
    </font>
    <font>
      <sz val="12"/>
      <name val="Calibri"/>
      <family val="2"/>
      <scheme val="minor"/>
    </font>
    <font>
      <sz val="11"/>
      <name val="Calibri"/>
      <family val="2"/>
      <scheme val="minor"/>
    </font>
  </fonts>
  <fills count="13">
    <fill>
      <patternFill patternType="none"/>
    </fill>
    <fill>
      <patternFill patternType="gray125"/>
    </fill>
    <fill>
      <patternFill patternType="solid">
        <fgColor indexed="11"/>
        <bgColor indexed="64"/>
      </patternFill>
    </fill>
    <fill>
      <patternFill patternType="solid">
        <fgColor indexed="47"/>
        <bgColor indexed="64"/>
      </patternFill>
    </fill>
    <fill>
      <patternFill patternType="solid">
        <fgColor indexed="8"/>
        <bgColor indexed="64"/>
      </patternFill>
    </fill>
    <fill>
      <patternFill patternType="solid">
        <fgColor indexed="40"/>
        <bgColor indexed="64"/>
      </patternFill>
    </fill>
    <fill>
      <patternFill patternType="solid">
        <fgColor indexed="43"/>
        <bgColor indexed="64"/>
      </patternFill>
    </fill>
    <fill>
      <patternFill patternType="solid">
        <fgColor theme="2" tint="-0.749992370372631"/>
        <bgColor indexed="64"/>
      </patternFill>
    </fill>
    <fill>
      <patternFill patternType="solid">
        <fgColor theme="2" tint="-9.9948118533890809E-2"/>
        <bgColor indexed="64"/>
      </patternFill>
    </fill>
    <fill>
      <patternFill patternType="solid">
        <fgColor theme="1"/>
        <bgColor indexed="64"/>
      </patternFill>
    </fill>
    <fill>
      <patternFill patternType="solid">
        <fgColor theme="6" tint="-0.499984740745262"/>
        <bgColor indexed="64"/>
      </patternFill>
    </fill>
    <fill>
      <patternFill patternType="solid">
        <fgColor theme="2" tint="-9.9978637043366805E-2"/>
        <bgColor indexed="64"/>
      </patternFill>
    </fill>
    <fill>
      <patternFill patternType="solid">
        <fgColor rgb="FFFFC000"/>
        <bgColor indexed="64"/>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right/>
      <top/>
      <bottom style="medium">
        <color indexed="9"/>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bottom style="thin">
        <color indexed="64"/>
      </bottom>
      <diagonal/>
    </border>
    <border>
      <left/>
      <right style="medium">
        <color indexed="64"/>
      </right>
      <top style="thin">
        <color indexed="9"/>
      </top>
      <bottom style="thin">
        <color indexed="9"/>
      </bottom>
      <diagonal/>
    </border>
    <border>
      <left style="medium">
        <color indexed="64"/>
      </left>
      <right style="thin">
        <color indexed="64"/>
      </right>
      <top style="thin">
        <color indexed="9"/>
      </top>
      <bottom style="thin">
        <color indexed="9"/>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128">
    <xf numFmtId="0" fontId="0" fillId="0" borderId="0" xfId="0"/>
    <xf numFmtId="0" fontId="2" fillId="0" borderId="0" xfId="0" applyFont="1"/>
    <xf numFmtId="0" fontId="2" fillId="0" borderId="0" xfId="0" applyFont="1" applyAlignment="1">
      <alignment horizontal="center"/>
    </xf>
    <xf numFmtId="0" fontId="2" fillId="0" borderId="0" xfId="0" applyFont="1" applyFill="1"/>
    <xf numFmtId="0" fontId="2" fillId="0" borderId="0" xfId="0" applyFont="1" applyFill="1" applyAlignment="1">
      <alignment horizontal="center"/>
    </xf>
    <xf numFmtId="0" fontId="6" fillId="0" borderId="0" xfId="0" applyFont="1" applyFill="1"/>
    <xf numFmtId="0" fontId="7" fillId="0" borderId="0" xfId="0" applyFont="1" applyFill="1"/>
    <xf numFmtId="0" fontId="2" fillId="0" borderId="0" xfId="0" applyFont="1" applyFill="1" applyBorder="1" applyAlignment="1">
      <alignment horizontal="center"/>
    </xf>
    <xf numFmtId="0" fontId="2" fillId="0" borderId="1" xfId="0" applyFont="1" applyBorder="1"/>
    <xf numFmtId="0" fontId="2" fillId="0" borderId="2" xfId="0" applyFont="1" applyBorder="1" applyAlignment="1">
      <alignment horizontal="center"/>
    </xf>
    <xf numFmtId="0" fontId="2" fillId="0" borderId="2" xfId="0" applyFont="1" applyFill="1" applyBorder="1" applyAlignment="1">
      <alignment horizontal="center"/>
    </xf>
    <xf numFmtId="0" fontId="2" fillId="0" borderId="3" xfId="0" applyFont="1" applyBorder="1"/>
    <xf numFmtId="0" fontId="2" fillId="0" borderId="0" xfId="0" applyFont="1" applyBorder="1" applyAlignment="1">
      <alignment horizontal="center"/>
    </xf>
    <xf numFmtId="0" fontId="2" fillId="0" borderId="4" xfId="0" applyFont="1" applyBorder="1"/>
    <xf numFmtId="0" fontId="2" fillId="0" borderId="5" xfId="0" applyFont="1" applyBorder="1"/>
    <xf numFmtId="0" fontId="7" fillId="0" borderId="4" xfId="0" applyFont="1" applyFill="1" applyBorder="1"/>
    <xf numFmtId="0" fontId="6" fillId="0" borderId="4" xfId="0" applyFont="1" applyFill="1" applyBorder="1"/>
    <xf numFmtId="0" fontId="2" fillId="0" borderId="5" xfId="0" applyFont="1" applyFill="1" applyBorder="1"/>
    <xf numFmtId="0" fontId="2" fillId="0" borderId="4" xfId="0" applyFont="1" applyFill="1" applyBorder="1"/>
    <xf numFmtId="0" fontId="2" fillId="0" borderId="2" xfId="0" applyFont="1" applyBorder="1"/>
    <xf numFmtId="0" fontId="7" fillId="0" borderId="5" xfId="0" applyFont="1" applyFill="1" applyBorder="1"/>
    <xf numFmtId="0" fontId="6" fillId="0" borderId="5" xfId="0" applyFont="1" applyFill="1" applyBorder="1"/>
    <xf numFmtId="0" fontId="3" fillId="0" borderId="0" xfId="0" applyFont="1" applyFill="1" applyBorder="1" applyAlignment="1">
      <alignment horizontal="left"/>
    </xf>
    <xf numFmtId="0" fontId="10" fillId="0" borderId="4" xfId="0" applyFont="1" applyFill="1" applyBorder="1"/>
    <xf numFmtId="0" fontId="2" fillId="0" borderId="0" xfId="0" applyFont="1" applyBorder="1" applyAlignment="1">
      <alignment vertical="center"/>
    </xf>
    <xf numFmtId="0" fontId="2" fillId="0" borderId="0" xfId="0" applyFont="1" applyFill="1" applyBorder="1" applyAlignment="1">
      <alignment horizontal="center" vertical="center"/>
    </xf>
    <xf numFmtId="0" fontId="7" fillId="0" borderId="0" xfId="0" applyFont="1" applyFill="1" applyBorder="1" applyAlignment="1">
      <alignment vertical="center"/>
    </xf>
    <xf numFmtId="0" fontId="6" fillId="0" borderId="0" xfId="0" applyFont="1" applyFill="1" applyBorder="1" applyAlignment="1">
      <alignment vertical="center"/>
    </xf>
    <xf numFmtId="0" fontId="2" fillId="0" borderId="0" xfId="0" applyFont="1" applyFill="1" applyBorder="1" applyAlignment="1">
      <alignment vertical="center"/>
    </xf>
    <xf numFmtId="0" fontId="3" fillId="0" borderId="0" xfId="0" applyFont="1" applyFill="1" applyBorder="1" applyAlignment="1">
      <alignment vertical="center"/>
    </xf>
    <xf numFmtId="0" fontId="6" fillId="0" borderId="0" xfId="0" applyFont="1" applyFill="1" applyBorder="1" applyAlignment="1">
      <alignment horizontal="center" vertical="center"/>
    </xf>
    <xf numFmtId="0" fontId="9" fillId="0" borderId="0" xfId="0" applyFont="1" applyFill="1" applyBorder="1" applyAlignment="1">
      <alignment horizontal="left" vertical="center"/>
    </xf>
    <xf numFmtId="0" fontId="9" fillId="0" borderId="0" xfId="0" applyFont="1" applyFill="1" applyAlignment="1">
      <alignment horizontal="left" vertical="center"/>
    </xf>
    <xf numFmtId="0" fontId="13" fillId="0" borderId="0" xfId="0" applyFont="1" applyFill="1"/>
    <xf numFmtId="3" fontId="6" fillId="0" borderId="0" xfId="0" applyNumberFormat="1" applyFont="1" applyFill="1" applyBorder="1" applyAlignment="1">
      <alignment vertical="center"/>
    </xf>
    <xf numFmtId="0" fontId="13" fillId="0" borderId="6" xfId="0" applyFont="1" applyFill="1" applyBorder="1"/>
    <xf numFmtId="0" fontId="13" fillId="0" borderId="6" xfId="0" applyFont="1" applyFill="1" applyBorder="1" applyAlignment="1">
      <alignment horizontal="center"/>
    </xf>
    <xf numFmtId="0" fontId="13" fillId="0" borderId="0" xfId="0" applyFont="1" applyFill="1" applyBorder="1"/>
    <xf numFmtId="0" fontId="2" fillId="2" borderId="0" xfId="0" applyFont="1" applyFill="1" applyBorder="1" applyAlignment="1">
      <alignment horizontal="center"/>
    </xf>
    <xf numFmtId="3" fontId="2" fillId="0" borderId="0" xfId="0" applyNumberFormat="1" applyFont="1" applyBorder="1" applyAlignment="1">
      <alignment horizontal="center" vertical="center"/>
    </xf>
    <xf numFmtId="3" fontId="2" fillId="0" borderId="0" xfId="0" applyNumberFormat="1" applyFont="1" applyFill="1" applyBorder="1" applyAlignment="1">
      <alignment horizontal="center" vertical="center"/>
    </xf>
    <xf numFmtId="3" fontId="2" fillId="0" borderId="0" xfId="0" applyNumberFormat="1" applyFont="1" applyAlignment="1">
      <alignment horizontal="center"/>
    </xf>
    <xf numFmtId="0" fontId="10" fillId="0" borderId="0" xfId="0" applyFont="1" applyFill="1" applyAlignment="1">
      <alignment horizontal="left" vertical="center"/>
    </xf>
    <xf numFmtId="0" fontId="10" fillId="0" borderId="0" xfId="0" applyFont="1" applyFill="1" applyBorder="1" applyAlignment="1">
      <alignment horizontal="left" vertical="center"/>
    </xf>
    <xf numFmtId="0" fontId="9" fillId="0" borderId="0" xfId="0" applyFont="1" applyFill="1" applyAlignment="1">
      <alignment horizontal="left"/>
    </xf>
    <xf numFmtId="0" fontId="10" fillId="0" borderId="0" xfId="0" applyFont="1" applyFill="1" applyAlignment="1">
      <alignment horizontal="left"/>
    </xf>
    <xf numFmtId="166" fontId="14" fillId="0" borderId="0" xfId="0" applyNumberFormat="1" applyFont="1" applyFill="1" applyBorder="1" applyAlignment="1">
      <alignment horizontal="center"/>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9" fontId="2" fillId="3" borderId="7" xfId="0" applyNumberFormat="1" applyFont="1" applyFill="1" applyBorder="1" applyAlignment="1">
      <alignment horizontal="center" vertical="center"/>
    </xf>
    <xf numFmtId="0" fontId="2" fillId="3" borderId="8" xfId="0" applyFont="1" applyFill="1" applyBorder="1" applyAlignment="1">
      <alignment horizontal="center" vertical="center"/>
    </xf>
    <xf numFmtId="9" fontId="2" fillId="3" borderId="9" xfId="0" applyNumberFormat="1" applyFont="1" applyFill="1" applyBorder="1" applyAlignment="1">
      <alignment horizontal="center" vertical="center"/>
    </xf>
    <xf numFmtId="0" fontId="2" fillId="3" borderId="10" xfId="0" applyFont="1" applyFill="1" applyBorder="1" applyAlignment="1">
      <alignment horizontal="center" vertical="center"/>
    </xf>
    <xf numFmtId="9" fontId="2" fillId="3" borderId="11" xfId="0" applyNumberFormat="1" applyFont="1" applyFill="1" applyBorder="1" applyAlignment="1">
      <alignment horizontal="center" vertical="center"/>
    </xf>
    <xf numFmtId="0" fontId="2" fillId="3" borderId="12" xfId="0" applyFont="1" applyFill="1" applyBorder="1" applyAlignment="1">
      <alignment horizontal="center" vertical="center"/>
    </xf>
    <xf numFmtId="0" fontId="2" fillId="0" borderId="0" xfId="0" applyFont="1" applyFill="1" applyBorder="1" applyAlignment="1">
      <alignment horizontal="center" vertical="center" wrapText="1"/>
    </xf>
    <xf numFmtId="0" fontId="21" fillId="0" borderId="4" xfId="0" applyFont="1" applyBorder="1"/>
    <xf numFmtId="3" fontId="2" fillId="0" borderId="13" xfId="0" applyNumberFormat="1" applyFont="1" applyBorder="1" applyAlignment="1">
      <alignment horizontal="center" vertical="center"/>
    </xf>
    <xf numFmtId="164" fontId="2" fillId="0" borderId="0" xfId="0" applyNumberFormat="1" applyFont="1" applyBorder="1" applyAlignment="1">
      <alignment vertical="center"/>
    </xf>
    <xf numFmtId="3" fontId="15" fillId="7" borderId="14" xfId="0" applyNumberFormat="1" applyFont="1" applyFill="1" applyBorder="1" applyAlignment="1">
      <alignment horizontal="center" vertical="center"/>
    </xf>
    <xf numFmtId="0" fontId="6" fillId="7" borderId="15" xfId="0" applyFont="1" applyFill="1" applyBorder="1" applyAlignment="1">
      <alignment vertical="center"/>
    </xf>
    <xf numFmtId="0" fontId="2" fillId="0" borderId="16" xfId="0" applyFont="1" applyFill="1" applyBorder="1"/>
    <xf numFmtId="9" fontId="2" fillId="0" borderId="17" xfId="0" applyNumberFormat="1" applyFont="1" applyFill="1" applyBorder="1" applyAlignment="1">
      <alignment horizontal="center" vertical="center"/>
    </xf>
    <xf numFmtId="0" fontId="2" fillId="0" borderId="17" xfId="0" applyFont="1" applyFill="1" applyBorder="1" applyAlignment="1">
      <alignment horizontal="center" vertical="center"/>
    </xf>
    <xf numFmtId="0" fontId="2" fillId="0" borderId="17" xfId="0" applyFont="1" applyFill="1" applyBorder="1" applyAlignment="1">
      <alignment vertical="center"/>
    </xf>
    <xf numFmtId="0" fontId="2" fillId="0" borderId="18" xfId="0" applyFont="1" applyFill="1" applyBorder="1"/>
    <xf numFmtId="0" fontId="2" fillId="0" borderId="19" xfId="0" applyFont="1" applyBorder="1" applyAlignment="1">
      <alignment vertical="center"/>
    </xf>
    <xf numFmtId="0" fontId="2" fillId="0" borderId="19" xfId="0" applyFont="1" applyBorder="1"/>
    <xf numFmtId="0" fontId="2" fillId="0" borderId="19" xfId="0" applyFont="1" applyFill="1" applyBorder="1" applyAlignment="1">
      <alignment vertical="center"/>
    </xf>
    <xf numFmtId="0" fontId="2" fillId="0" borderId="19" xfId="0" applyFont="1" applyBorder="1" applyAlignment="1"/>
    <xf numFmtId="0" fontId="2" fillId="0" borderId="20" xfId="0" applyFont="1" applyFill="1" applyBorder="1" applyAlignment="1">
      <alignment vertical="center"/>
    </xf>
    <xf numFmtId="0" fontId="2" fillId="0" borderId="19" xfId="0" applyFont="1" applyBorder="1" applyAlignment="1">
      <alignment horizontal="center" vertical="center"/>
    </xf>
    <xf numFmtId="0" fontId="2" fillId="0" borderId="19" xfId="0" applyFont="1" applyBorder="1" applyAlignment="1">
      <alignment horizontal="center"/>
    </xf>
    <xf numFmtId="0" fontId="2" fillId="0" borderId="19" xfId="0" applyFont="1" applyFill="1" applyBorder="1" applyAlignment="1">
      <alignment horizontal="center" vertical="center"/>
    </xf>
    <xf numFmtId="0" fontId="2" fillId="0" borderId="22" xfId="0" applyFont="1" applyBorder="1" applyAlignment="1">
      <alignment horizontal="center" vertical="center"/>
    </xf>
    <xf numFmtId="0" fontId="2" fillId="0" borderId="22" xfId="0" applyFont="1" applyBorder="1" applyAlignment="1">
      <alignment vertical="center"/>
    </xf>
    <xf numFmtId="3" fontId="2" fillId="0" borderId="23" xfId="0" applyNumberFormat="1" applyFont="1" applyBorder="1" applyAlignment="1">
      <alignment horizontal="center" vertical="center"/>
    </xf>
    <xf numFmtId="0" fontId="3" fillId="4" borderId="23" xfId="0" applyFont="1" applyFill="1" applyBorder="1" applyAlignment="1" applyProtection="1">
      <alignment horizontal="center" vertical="center"/>
    </xf>
    <xf numFmtId="0" fontId="3" fillId="4" borderId="24" xfId="0" applyFont="1" applyFill="1" applyBorder="1" applyAlignment="1" applyProtection="1">
      <alignment horizontal="center" vertical="center"/>
    </xf>
    <xf numFmtId="44" fontId="2" fillId="0" borderId="21" xfId="0" applyNumberFormat="1" applyFont="1" applyFill="1" applyBorder="1" applyAlignment="1">
      <alignment horizontal="center" vertical="center"/>
    </xf>
    <xf numFmtId="44" fontId="2" fillId="0" borderId="19" xfId="0" applyNumberFormat="1" applyFont="1" applyFill="1" applyBorder="1" applyAlignment="1">
      <alignment horizontal="center" vertical="center"/>
    </xf>
    <xf numFmtId="44" fontId="2" fillId="0" borderId="22" xfId="0" applyNumberFormat="1" applyFont="1" applyFill="1" applyBorder="1" applyAlignment="1">
      <alignment horizontal="center" vertical="center"/>
    </xf>
    <xf numFmtId="0" fontId="9" fillId="0" borderId="0" xfId="0" applyFont="1" applyFill="1"/>
    <xf numFmtId="0" fontId="5" fillId="0" borderId="0" xfId="0" applyFont="1" applyBorder="1" applyAlignment="1">
      <alignment horizontal="center"/>
    </xf>
    <xf numFmtId="44" fontId="2" fillId="0" borderId="0" xfId="1" applyFont="1" applyFill="1" applyAlignment="1">
      <alignment horizontal="center"/>
    </xf>
    <xf numFmtId="0" fontId="3" fillId="8" borderId="25" xfId="0" applyFont="1" applyFill="1" applyBorder="1" applyAlignment="1">
      <alignment horizontal="center"/>
    </xf>
    <xf numFmtId="0" fontId="3" fillId="8" borderId="0" xfId="0" applyFont="1" applyFill="1" applyBorder="1" applyAlignment="1" applyProtection="1">
      <alignment horizontal="center" vertical="center"/>
      <protection locked="0"/>
    </xf>
    <xf numFmtId="0" fontId="3" fillId="8" borderId="22" xfId="0" applyFont="1" applyFill="1" applyBorder="1" applyAlignment="1" applyProtection="1">
      <alignment horizontal="center" vertical="center"/>
      <protection locked="0"/>
    </xf>
    <xf numFmtId="0" fontId="2" fillId="9" borderId="26" xfId="0" applyFont="1" applyFill="1" applyBorder="1" applyAlignment="1">
      <alignment horizontal="center" vertical="center"/>
    </xf>
    <xf numFmtId="0" fontId="2" fillId="9" borderId="0" xfId="0" applyFont="1" applyFill="1"/>
    <xf numFmtId="0" fontId="2" fillId="9" borderId="27" xfId="0" applyFont="1" applyFill="1" applyBorder="1" applyAlignment="1">
      <alignment vertical="center"/>
    </xf>
    <xf numFmtId="3" fontId="2" fillId="9" borderId="4" xfId="0" applyNumberFormat="1" applyFont="1" applyFill="1" applyBorder="1" applyAlignment="1">
      <alignment horizontal="center" vertical="center"/>
    </xf>
    <xf numFmtId="0" fontId="16" fillId="9" borderId="27" xfId="0" applyFont="1" applyFill="1" applyBorder="1" applyAlignment="1">
      <alignment vertical="center"/>
    </xf>
    <xf numFmtId="0" fontId="17" fillId="9" borderId="4" xfId="0" applyFont="1" applyFill="1" applyBorder="1" applyAlignment="1">
      <alignment horizontal="center" vertical="center"/>
    </xf>
    <xf numFmtId="0" fontId="19" fillId="5" borderId="1" xfId="0" applyFont="1" applyFill="1" applyBorder="1" applyAlignment="1">
      <alignment horizontal="center" vertical="center"/>
    </xf>
    <xf numFmtId="165" fontId="19" fillId="5" borderId="28" xfId="0" applyNumberFormat="1" applyFont="1" applyFill="1" applyBorder="1" applyAlignment="1">
      <alignment horizontal="right" vertical="center"/>
    </xf>
    <xf numFmtId="0" fontId="19" fillId="5" borderId="26" xfId="0" applyFont="1" applyFill="1" applyBorder="1" applyAlignment="1">
      <alignment horizontal="center" vertical="center" wrapText="1"/>
    </xf>
    <xf numFmtId="165" fontId="19" fillId="5" borderId="29" xfId="0" applyNumberFormat="1" applyFont="1" applyFill="1" applyBorder="1" applyAlignment="1">
      <alignment horizontal="right" vertical="center"/>
    </xf>
    <xf numFmtId="0" fontId="3" fillId="9" borderId="26" xfId="0" applyFont="1" applyFill="1" applyBorder="1" applyAlignment="1">
      <alignment horizontal="center" vertical="center"/>
    </xf>
    <xf numFmtId="165" fontId="3" fillId="9" borderId="29" xfId="0" applyNumberFormat="1" applyFont="1" applyFill="1" applyBorder="1" applyAlignment="1">
      <alignment vertical="center"/>
    </xf>
    <xf numFmtId="0" fontId="19" fillId="5" borderId="16" xfId="0" applyFont="1" applyFill="1" applyBorder="1" applyAlignment="1">
      <alignment horizontal="center" vertical="center"/>
    </xf>
    <xf numFmtId="165" fontId="19" fillId="5" borderId="30" xfId="0" applyNumberFormat="1" applyFont="1" applyFill="1" applyBorder="1" applyAlignment="1">
      <alignment vertical="center"/>
    </xf>
    <xf numFmtId="0" fontId="3" fillId="5" borderId="25" xfId="0" applyFont="1" applyFill="1" applyBorder="1" applyAlignment="1">
      <alignment vertical="center"/>
    </xf>
    <xf numFmtId="3" fontId="3" fillId="5" borderId="31" xfId="0" applyNumberFormat="1" applyFont="1" applyFill="1" applyBorder="1" applyAlignment="1">
      <alignment horizontal="center" vertical="center" wrapText="1"/>
    </xf>
    <xf numFmtId="0" fontId="3" fillId="5" borderId="25" xfId="0" applyFont="1" applyFill="1" applyBorder="1" applyAlignment="1">
      <alignment horizontal="center" vertical="center"/>
    </xf>
    <xf numFmtId="0" fontId="3" fillId="5" borderId="31" xfId="0" applyFont="1" applyFill="1" applyBorder="1" applyAlignment="1">
      <alignment horizontal="center" vertical="center" wrapText="1"/>
    </xf>
    <xf numFmtId="0" fontId="3" fillId="5" borderId="25" xfId="0" applyFont="1" applyFill="1" applyBorder="1" applyAlignment="1">
      <alignment vertical="center" wrapText="1"/>
    </xf>
    <xf numFmtId="0" fontId="3" fillId="5" borderId="24" xfId="0" applyFont="1" applyFill="1" applyBorder="1" applyAlignment="1">
      <alignment horizontal="center" vertical="center" wrapText="1"/>
    </xf>
    <xf numFmtId="3" fontId="22" fillId="10" borderId="32" xfId="0" applyNumberFormat="1" applyFont="1" applyFill="1" applyBorder="1" applyAlignment="1">
      <alignment horizontal="center" vertical="center"/>
    </xf>
    <xf numFmtId="0" fontId="22" fillId="10" borderId="33" xfId="0" applyFont="1" applyFill="1" applyBorder="1" applyAlignment="1">
      <alignment vertical="center"/>
    </xf>
    <xf numFmtId="0" fontId="3" fillId="6" borderId="15" xfId="0" applyFont="1" applyFill="1" applyBorder="1" applyAlignment="1">
      <alignment vertical="center"/>
    </xf>
    <xf numFmtId="3" fontId="3" fillId="6" borderId="14" xfId="0" applyNumberFormat="1" applyFont="1" applyFill="1" applyBorder="1" applyAlignment="1">
      <alignment horizontal="center" vertical="center"/>
    </xf>
    <xf numFmtId="0" fontId="3" fillId="11" borderId="0" xfId="0" applyFont="1" applyFill="1" applyBorder="1" applyAlignment="1" applyProtection="1">
      <alignment horizontal="center" vertical="center"/>
      <protection locked="0"/>
    </xf>
    <xf numFmtId="0" fontId="2" fillId="0" borderId="19" xfId="0" applyFont="1" applyBorder="1" applyAlignment="1">
      <alignment horizontal="left"/>
    </xf>
    <xf numFmtId="0" fontId="22" fillId="10" borderId="27" xfId="0" applyFont="1" applyFill="1" applyBorder="1" applyAlignment="1">
      <alignment vertical="center"/>
    </xf>
    <xf numFmtId="3" fontId="22" fillId="10" borderId="4" xfId="0" applyNumberFormat="1" applyFont="1" applyFill="1" applyBorder="1" applyAlignment="1">
      <alignment horizontal="center" vertical="center"/>
    </xf>
    <xf numFmtId="0" fontId="19" fillId="12" borderId="26" xfId="0" applyFont="1" applyFill="1" applyBorder="1" applyAlignment="1">
      <alignment horizontal="center" vertical="center"/>
    </xf>
    <xf numFmtId="165" fontId="19" fillId="12" borderId="29" xfId="0" applyNumberFormat="1" applyFont="1" applyFill="1" applyBorder="1" applyAlignment="1">
      <alignment vertical="center"/>
    </xf>
    <xf numFmtId="0" fontId="19" fillId="7" borderId="26" xfId="0" applyFont="1" applyFill="1" applyBorder="1" applyAlignment="1">
      <alignment horizontal="center" vertical="center"/>
    </xf>
    <xf numFmtId="165" fontId="19" fillId="7" borderId="29" xfId="0" applyNumberFormat="1" applyFont="1" applyFill="1" applyBorder="1" applyAlignment="1">
      <alignment vertical="center"/>
    </xf>
    <xf numFmtId="0" fontId="21" fillId="0" borderId="0" xfId="0" applyFont="1" applyFill="1" applyBorder="1" applyAlignment="1">
      <alignment wrapText="1"/>
    </xf>
    <xf numFmtId="0" fontId="21" fillId="0" borderId="0" xfId="0" applyFont="1" applyFill="1"/>
    <xf numFmtId="44" fontId="2" fillId="0" borderId="19" xfId="1" applyNumberFormat="1" applyFont="1" applyFill="1" applyBorder="1" applyAlignment="1" applyProtection="1">
      <alignment horizontal="center" vertical="center"/>
    </xf>
    <xf numFmtId="44" fontId="2" fillId="0" borderId="19" xfId="1" applyFont="1" applyFill="1" applyBorder="1" applyAlignment="1" applyProtection="1">
      <alignment horizontal="center" vertical="center"/>
    </xf>
    <xf numFmtId="44" fontId="2" fillId="0" borderId="21" xfId="1" applyFont="1" applyFill="1" applyBorder="1" applyAlignment="1" applyProtection="1">
      <alignment horizontal="center" vertical="center"/>
    </xf>
    <xf numFmtId="44" fontId="2" fillId="0" borderId="22" xfId="1" applyFont="1" applyFill="1" applyBorder="1" applyAlignment="1" applyProtection="1">
      <alignment horizontal="center" vertical="center"/>
    </xf>
    <xf numFmtId="44" fontId="2" fillId="0" borderId="19" xfId="0" applyNumberFormat="1" applyFont="1" applyFill="1" applyBorder="1" applyAlignment="1" applyProtection="1">
      <alignment horizontal="center" vertical="center"/>
    </xf>
    <xf numFmtId="44" fontId="2" fillId="0" borderId="22" xfId="0" applyNumberFormat="1" applyFont="1" applyFill="1" applyBorder="1" applyAlignment="1" applyProtection="1">
      <alignment horizontal="center" vertical="center"/>
    </xf>
  </cellXfs>
  <cellStyles count="2">
    <cellStyle name="Currency" xfId="1" builtinId="4"/>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5F7E26"/>
      <rgbColor rgb="00FFFFFF"/>
      <rgbColor rgb="00FF0000"/>
      <rgbColor rgb="0000FF00"/>
      <rgbColor rgb="003166CF"/>
      <rgbColor rgb="00FFFF00"/>
      <rgbColor rgb="00FF00FF"/>
      <rgbColor rgb="0000FFFF"/>
      <rgbColor rgb="00800000"/>
      <rgbColor rgb="00008000"/>
      <rgbColor rgb="00055F7B"/>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E99909"/>
      <rgbColor rgb="0099CCFF"/>
      <rgbColor rgb="00FF99CC"/>
      <rgbColor rgb="00CC99FF"/>
      <rgbColor rgb="00FFCC99"/>
      <rgbColor rgb="003366FF"/>
      <rgbColor rgb="0033CCCC"/>
      <rgbColor rgb="0099CC00"/>
      <rgbColor rgb="00FFCC00"/>
      <rgbColor rgb="005F7E26"/>
      <rgbColor rgb="00E99909"/>
      <rgbColor rgb="00666699"/>
      <rgbColor rgb="00969696"/>
      <rgbColor rgb="00003366"/>
      <rgbColor rgb="00874A1D"/>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0</xdr:rowOff>
    </xdr:from>
    <xdr:to>
      <xdr:col>2</xdr:col>
      <xdr:colOff>85725</xdr:colOff>
      <xdr:row>2</xdr:row>
      <xdr:rowOff>57150</xdr:rowOff>
    </xdr:to>
    <xdr:pic>
      <xdr:nvPicPr>
        <xdr:cNvPr id="1037" name="Picture 2" descr="Partner Program logo - lrg"/>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161925" y="0"/>
          <a:ext cx="2476500" cy="466725"/>
        </a:xfrm>
        <a:prstGeom prst="rect">
          <a:avLst/>
        </a:prstGeom>
        <a:noFill/>
        <a:ln w="9525">
          <a:noFill/>
          <a:miter lim="800000"/>
          <a:headEnd/>
          <a:tailEnd/>
        </a:ln>
      </xdr:spPr>
    </xdr:pic>
    <xdr:clientData/>
  </xdr:twoCellAnchor>
  <xdr:twoCellAnchor>
    <xdr:from>
      <xdr:col>7</xdr:col>
      <xdr:colOff>96308</xdr:colOff>
      <xdr:row>21</xdr:row>
      <xdr:rowOff>381001</xdr:rowOff>
    </xdr:from>
    <xdr:to>
      <xdr:col>8</xdr:col>
      <xdr:colOff>10584</xdr:colOff>
      <xdr:row>69</xdr:row>
      <xdr:rowOff>212605</xdr:rowOff>
    </xdr:to>
    <xdr:sp macro="" textlink="">
      <xdr:nvSpPr>
        <xdr:cNvPr id="5" name="TextBox 4"/>
        <xdr:cNvSpPr txBox="1"/>
      </xdr:nvSpPr>
      <xdr:spPr>
        <a:xfrm>
          <a:off x="8975725" y="5344584"/>
          <a:ext cx="1078442" cy="112616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vert="vert"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latin typeface="+mn-lt"/>
              <a:ea typeface="+mn-ea"/>
              <a:cs typeface="+mn-cs"/>
            </a:rPr>
            <a:t>Always read and follow label directions.</a:t>
          </a:r>
          <a:endParaRPr lang="en-US" sz="900" b="1"/>
        </a:p>
        <a:p>
          <a:r>
            <a:rPr lang="en-US" sz="900">
              <a:latin typeface="Arial" pitchFamily="34" charset="0"/>
              <a:cs typeface="Arial" pitchFamily="34" charset="0"/>
            </a:rPr>
            <a:t>Actara</a:t>
          </a:r>
          <a:r>
            <a:rPr lang="en-US" sz="900" baseline="30000">
              <a:latin typeface="Arial" pitchFamily="34" charset="0"/>
              <a:cs typeface="Arial" pitchFamily="34" charset="0"/>
            </a:rPr>
            <a:t>®</a:t>
          </a:r>
          <a:r>
            <a:rPr lang="en-US" sz="900">
              <a:latin typeface="Arial" pitchFamily="34" charset="0"/>
              <a:cs typeface="Arial" pitchFamily="34" charset="0"/>
            </a:rPr>
            <a:t>, Allegro</a:t>
          </a:r>
          <a:r>
            <a:rPr lang="en-US" sz="900" baseline="30000">
              <a:latin typeface="Arial" pitchFamily="34" charset="0"/>
              <a:cs typeface="Arial" pitchFamily="34" charset="0"/>
            </a:rPr>
            <a:t>®</a:t>
          </a:r>
          <a:r>
            <a:rPr lang="en-US" sz="1100">
              <a:solidFill>
                <a:schemeClr val="dk1"/>
              </a:solidFill>
              <a:latin typeface="+mn-lt"/>
              <a:ea typeface="+mn-ea"/>
              <a:cs typeface="+mn-cs"/>
            </a:rPr>
            <a:t>, </a:t>
          </a:r>
          <a:r>
            <a:rPr lang="en-US" sz="900">
              <a:latin typeface="Arial" pitchFamily="34" charset="0"/>
              <a:cs typeface="Arial" pitchFamily="34" charset="0"/>
            </a:rPr>
            <a:t>Apron Maxx</a:t>
          </a:r>
          <a:r>
            <a:rPr lang="en-US" sz="900" baseline="30000">
              <a:solidFill>
                <a:schemeClr val="dk1"/>
              </a:solidFill>
              <a:latin typeface="Arial" pitchFamily="34" charset="0"/>
              <a:ea typeface="+mn-ea"/>
              <a:cs typeface="Arial" pitchFamily="34" charset="0"/>
            </a:rPr>
            <a:t>®</a:t>
          </a:r>
          <a:r>
            <a:rPr lang="en-US" sz="900">
              <a:latin typeface="Arial" pitchFamily="34" charset="0"/>
              <a:cs typeface="Arial" pitchFamily="34" charset="0"/>
            </a:rPr>
            <a:t> RTA</a:t>
          </a:r>
          <a:r>
            <a:rPr lang="en-US" sz="900" baseline="30000">
              <a:latin typeface="Arial" pitchFamily="34" charset="0"/>
              <a:cs typeface="Arial" pitchFamily="34" charset="0"/>
            </a:rPr>
            <a:t>®</a:t>
          </a:r>
          <a:r>
            <a:rPr lang="en-US" sz="900">
              <a:latin typeface="Arial" pitchFamily="34" charset="0"/>
              <a:cs typeface="Arial" pitchFamily="34" charset="0"/>
            </a:rPr>
            <a:t>, Astound</a:t>
          </a:r>
          <a:r>
            <a:rPr lang="en-US" sz="900" baseline="30000">
              <a:latin typeface="Arial" pitchFamily="34" charset="0"/>
              <a:cs typeface="Arial" pitchFamily="34" charset="0"/>
            </a:rPr>
            <a:t>®</a:t>
          </a:r>
          <a:r>
            <a:rPr lang="en-US" sz="900">
              <a:latin typeface="Arial" pitchFamily="34" charset="0"/>
              <a:cs typeface="Arial" pitchFamily="34" charset="0"/>
            </a:rPr>
            <a:t>, Axial</a:t>
          </a:r>
          <a:r>
            <a:rPr lang="en-US" sz="900" baseline="30000">
              <a:latin typeface="Arial" pitchFamily="34" charset="0"/>
              <a:cs typeface="Arial" pitchFamily="34" charset="0"/>
            </a:rPr>
            <a:t>®</a:t>
          </a:r>
          <a:r>
            <a:rPr lang="en-US" sz="900">
              <a:latin typeface="Arial" pitchFamily="34" charset="0"/>
              <a:cs typeface="Arial" pitchFamily="34" charset="0"/>
            </a:rPr>
            <a:t>, Avenge</a:t>
          </a:r>
          <a:r>
            <a:rPr lang="en-US" sz="900" baseline="30000">
              <a:latin typeface="Arial" pitchFamily="34" charset="0"/>
              <a:cs typeface="Arial" pitchFamily="34" charset="0"/>
            </a:rPr>
            <a:t>®</a:t>
          </a:r>
          <a:r>
            <a:rPr lang="en-US" sz="900">
              <a:latin typeface="Arial" pitchFamily="34" charset="0"/>
              <a:cs typeface="Arial" pitchFamily="34" charset="0"/>
            </a:rPr>
            <a:t>, Bravo</a:t>
          </a:r>
          <a:r>
            <a:rPr lang="en-US" sz="900" baseline="30000">
              <a:latin typeface="Arial" pitchFamily="34" charset="0"/>
              <a:cs typeface="Arial" pitchFamily="34" charset="0"/>
            </a:rPr>
            <a:t>®</a:t>
          </a:r>
          <a:r>
            <a:rPr lang="en-US" sz="900">
              <a:latin typeface="Arial" pitchFamily="34" charset="0"/>
              <a:cs typeface="Arial" pitchFamily="34" charset="0"/>
            </a:rPr>
            <a:t>, Broadband</a:t>
          </a:r>
          <a:r>
            <a:rPr lang="en-US" sz="900" baseline="30000">
              <a:latin typeface="Arial" pitchFamily="34" charset="0"/>
              <a:cs typeface="Arial" pitchFamily="34" charset="0"/>
            </a:rPr>
            <a:t>®</a:t>
          </a:r>
          <a:r>
            <a:rPr lang="en-US" sz="900">
              <a:latin typeface="Arial" pitchFamily="34" charset="0"/>
              <a:cs typeface="Arial" pitchFamily="34" charset="0"/>
            </a:rPr>
            <a:t>, Cruiser Maxx</a:t>
          </a:r>
          <a:r>
            <a:rPr lang="en-US" sz="900" baseline="30000">
              <a:latin typeface="Arial" pitchFamily="34" charset="0"/>
              <a:cs typeface="Arial" pitchFamily="34" charset="0"/>
            </a:rPr>
            <a:t>®</a:t>
          </a:r>
          <a:r>
            <a:rPr lang="en-US" sz="900">
              <a:latin typeface="Arial" pitchFamily="34" charset="0"/>
              <a:cs typeface="Arial" pitchFamily="34" charset="0"/>
            </a:rPr>
            <a:t>, Dividend XL RTA</a:t>
          </a:r>
          <a:r>
            <a:rPr lang="en-US" sz="900" baseline="30000">
              <a:latin typeface="Arial" pitchFamily="34" charset="0"/>
              <a:cs typeface="Arial" pitchFamily="34" charset="0"/>
            </a:rPr>
            <a:t>®</a:t>
          </a:r>
          <a:r>
            <a:rPr lang="en-US" sz="900">
              <a:latin typeface="Arial" pitchFamily="34" charset="0"/>
              <a:cs typeface="Arial" pitchFamily="34" charset="0"/>
            </a:rPr>
            <a:t>, Dual</a:t>
          </a:r>
          <a:r>
            <a:rPr lang="en-US" sz="900" baseline="0">
              <a:latin typeface="Arial" pitchFamily="34" charset="0"/>
              <a:cs typeface="Arial" pitchFamily="34" charset="0"/>
            </a:rPr>
            <a:t> </a:t>
          </a:r>
          <a:r>
            <a:rPr lang="en-US" sz="900">
              <a:latin typeface="Arial" pitchFamily="34" charset="0"/>
              <a:cs typeface="Arial" pitchFamily="34" charset="0"/>
            </a:rPr>
            <a:t>II Magnum</a:t>
          </a:r>
          <a:r>
            <a:rPr lang="en-US" sz="900" baseline="30000">
              <a:solidFill>
                <a:schemeClr val="dk1"/>
              </a:solidFill>
              <a:latin typeface="Arial" pitchFamily="34" charset="0"/>
              <a:ea typeface="+mn-ea"/>
              <a:cs typeface="Arial" pitchFamily="34" charset="0"/>
            </a:rPr>
            <a:t>®</a:t>
          </a:r>
          <a:r>
            <a:rPr lang="en-US" sz="900">
              <a:latin typeface="Arial" pitchFamily="34" charset="0"/>
              <a:cs typeface="Arial" pitchFamily="34" charset="0"/>
            </a:rPr>
            <a:t>, Fulfill</a:t>
          </a:r>
          <a:r>
            <a:rPr lang="en-US" sz="900" baseline="30000">
              <a:latin typeface="Arial" pitchFamily="34" charset="0"/>
              <a:cs typeface="Arial" pitchFamily="34" charset="0"/>
            </a:rPr>
            <a:t>®,</a:t>
          </a:r>
          <a:r>
            <a:rPr lang="en-US" sz="900">
              <a:latin typeface="Arial" pitchFamily="34" charset="0"/>
              <a:cs typeface="Arial" pitchFamily="34" charset="0"/>
            </a:rPr>
            <a:t> Gramoxone</a:t>
          </a:r>
          <a:r>
            <a:rPr lang="en-US" sz="900" baseline="30000">
              <a:latin typeface="Arial" pitchFamily="34" charset="0"/>
              <a:cs typeface="Arial" pitchFamily="34" charset="0"/>
            </a:rPr>
            <a:t>®</a:t>
          </a:r>
          <a:r>
            <a:rPr lang="en-US" sz="900">
              <a:latin typeface="Arial" pitchFamily="34" charset="0"/>
              <a:cs typeface="Arial" pitchFamily="34" charset="0"/>
            </a:rPr>
            <a:t>, Helix Xtra</a:t>
          </a:r>
          <a:r>
            <a:rPr lang="en-US" sz="900" baseline="30000">
              <a:latin typeface="Arial" pitchFamily="34" charset="0"/>
              <a:cs typeface="Arial" pitchFamily="34" charset="0"/>
            </a:rPr>
            <a:t>®</a:t>
          </a:r>
          <a:r>
            <a:rPr lang="en-US" sz="900">
              <a:latin typeface="Arial" pitchFamily="34" charset="0"/>
              <a:cs typeface="Arial" pitchFamily="34" charset="0"/>
            </a:rPr>
            <a:t>, Horizon</a:t>
          </a:r>
          <a:r>
            <a:rPr lang="en-US" sz="900" baseline="30000">
              <a:latin typeface="Arial" pitchFamily="34" charset="0"/>
              <a:cs typeface="Arial" pitchFamily="34" charset="0"/>
            </a:rPr>
            <a:t>®</a:t>
          </a:r>
          <a:r>
            <a:rPr lang="en-US" sz="900">
              <a:latin typeface="Arial" pitchFamily="34" charset="0"/>
              <a:cs typeface="Arial" pitchFamily="34" charset="0"/>
            </a:rPr>
            <a:t>, Matador</a:t>
          </a:r>
          <a:r>
            <a:rPr lang="en-US" sz="900" baseline="30000">
              <a:latin typeface="Arial" pitchFamily="34" charset="0"/>
              <a:cs typeface="Arial" pitchFamily="34" charset="0"/>
            </a:rPr>
            <a:t>®</a:t>
          </a:r>
          <a:r>
            <a:rPr lang="en-US" sz="900">
              <a:latin typeface="Arial" pitchFamily="34" charset="0"/>
              <a:cs typeface="Arial" pitchFamily="34" charset="0"/>
            </a:rPr>
            <a:t> </a:t>
          </a:r>
          <a:r>
            <a:rPr lang="en-US" sz="900">
              <a:solidFill>
                <a:schemeClr val="dk1"/>
              </a:solidFill>
              <a:latin typeface="Arial" pitchFamily="34" charset="0"/>
              <a:ea typeface="+mn-ea"/>
              <a:cs typeface="Arial" pitchFamily="34" charset="0"/>
            </a:rPr>
            <a:t>, </a:t>
          </a:r>
          <a:r>
            <a:rPr lang="en-US" sz="900">
              <a:latin typeface="Arial" pitchFamily="34" charset="0"/>
              <a:cs typeface="Arial" pitchFamily="34" charset="0"/>
            </a:rPr>
            <a:t>Maxim</a:t>
          </a:r>
          <a:r>
            <a:rPr lang="en-US" sz="900" baseline="30000">
              <a:latin typeface="Arial" pitchFamily="34" charset="0"/>
              <a:cs typeface="Arial" pitchFamily="34" charset="0"/>
            </a:rPr>
            <a:t>®</a:t>
          </a:r>
          <a:r>
            <a:rPr lang="en-US" sz="900">
              <a:latin typeface="Arial" pitchFamily="34" charset="0"/>
              <a:cs typeface="Arial" pitchFamily="34" charset="0"/>
            </a:rPr>
            <a:t>, Pace</a:t>
          </a:r>
          <a:r>
            <a:rPr lang="en-US" sz="900" baseline="30000">
              <a:solidFill>
                <a:schemeClr val="dk1"/>
              </a:solidFill>
              <a:latin typeface="Arial" pitchFamily="34" charset="0"/>
              <a:ea typeface="+mn-ea"/>
              <a:cs typeface="Arial" pitchFamily="34" charset="0"/>
            </a:rPr>
            <a:t>®</a:t>
          </a:r>
          <a:r>
            <a:rPr lang="en-US" sz="900">
              <a:latin typeface="Arial" pitchFamily="34" charset="0"/>
              <a:cs typeface="Arial" pitchFamily="34" charset="0"/>
            </a:rPr>
            <a:t>, Partner Program™, Pulsar</a:t>
          </a:r>
          <a:r>
            <a:rPr lang="en-US" sz="900" baseline="30000">
              <a:solidFill>
                <a:schemeClr val="dk1"/>
              </a:solidFill>
              <a:latin typeface="Arial" pitchFamily="34" charset="0"/>
              <a:ea typeface="+mn-ea"/>
              <a:cs typeface="Arial" pitchFamily="34" charset="0"/>
            </a:rPr>
            <a:t>®</a:t>
          </a:r>
          <a:r>
            <a:rPr lang="en-US" sz="900">
              <a:latin typeface="Arial" pitchFamily="34" charset="0"/>
              <a:cs typeface="Arial" pitchFamily="34" charset="0"/>
            </a:rPr>
            <a:t>, Quadris</a:t>
          </a:r>
          <a:r>
            <a:rPr lang="en-US" sz="900" baseline="30000">
              <a:latin typeface="Arial" pitchFamily="34" charset="0"/>
              <a:cs typeface="Arial" pitchFamily="34" charset="0"/>
            </a:rPr>
            <a:t>®</a:t>
          </a:r>
          <a:r>
            <a:rPr lang="en-US" sz="900">
              <a:latin typeface="Arial" pitchFamily="34" charset="0"/>
              <a:cs typeface="Arial" pitchFamily="34" charset="0"/>
            </a:rPr>
            <a:t>, Quilt</a:t>
          </a:r>
          <a:r>
            <a:rPr lang="en-US" sz="900" baseline="30000">
              <a:latin typeface="Arial" pitchFamily="34" charset="0"/>
              <a:cs typeface="Arial" pitchFamily="34" charset="0"/>
            </a:rPr>
            <a:t>®</a:t>
          </a:r>
          <a:r>
            <a:rPr lang="en-US" sz="900">
              <a:latin typeface="Arial" pitchFamily="34" charset="0"/>
              <a:cs typeface="Arial" pitchFamily="34" charset="0"/>
            </a:rPr>
            <a:t>, Reflex</a:t>
          </a:r>
          <a:r>
            <a:rPr lang="en-US" sz="900" baseline="30000">
              <a:latin typeface="Arial" pitchFamily="34" charset="0"/>
              <a:cs typeface="Arial" pitchFamily="34" charset="0"/>
            </a:rPr>
            <a:t>®</a:t>
          </a:r>
          <a:r>
            <a:rPr lang="en-US" sz="900">
              <a:latin typeface="Arial" pitchFamily="34" charset="0"/>
              <a:cs typeface="Arial" pitchFamily="34" charset="0"/>
            </a:rPr>
            <a:t>, </a:t>
          </a:r>
          <a:r>
            <a:rPr lang="en-US" sz="900" baseline="0">
              <a:latin typeface="Arial" pitchFamily="34" charset="0"/>
              <a:cs typeface="Arial" pitchFamily="34" charset="0"/>
            </a:rPr>
            <a:t>Reglone</a:t>
          </a:r>
          <a:r>
            <a:rPr lang="en-US" sz="900" baseline="30000">
              <a:latin typeface="Arial" pitchFamily="34" charset="0"/>
              <a:cs typeface="Arial" pitchFamily="34" charset="0"/>
            </a:rPr>
            <a:t>®</a:t>
          </a:r>
          <a:r>
            <a:rPr lang="en-US" sz="900" baseline="0">
              <a:latin typeface="Arial" pitchFamily="34" charset="0"/>
              <a:cs typeface="Arial" pitchFamily="34" charset="0"/>
            </a:rPr>
            <a:t>, Revus</a:t>
          </a:r>
          <a:r>
            <a:rPr lang="en-US" sz="900" baseline="30000">
              <a:latin typeface="Arial" pitchFamily="34" charset="0"/>
              <a:cs typeface="Arial" pitchFamily="34" charset="0"/>
            </a:rPr>
            <a:t>®</a:t>
          </a:r>
          <a:r>
            <a:rPr lang="en-US" sz="900">
              <a:latin typeface="Arial" pitchFamily="34" charset="0"/>
              <a:cs typeface="Arial" pitchFamily="34" charset="0"/>
            </a:rPr>
            <a:t>, Ridomil Gold</a:t>
          </a:r>
          <a:r>
            <a:rPr lang="en-US" sz="900" baseline="30000">
              <a:latin typeface="Arial" pitchFamily="34" charset="0"/>
              <a:cs typeface="Arial" pitchFamily="34" charset="0"/>
            </a:rPr>
            <a:t>® </a:t>
          </a:r>
          <a:r>
            <a:rPr lang="en-US" sz="900">
              <a:latin typeface="Arial" pitchFamily="34" charset="0"/>
              <a:cs typeface="Arial" pitchFamily="34" charset="0"/>
            </a:rPr>
            <a:t>Bravo</a:t>
          </a:r>
          <a:r>
            <a:rPr lang="en-US" sz="900" baseline="30000">
              <a:latin typeface="Arial" pitchFamily="34" charset="0"/>
              <a:cs typeface="Arial" pitchFamily="34" charset="0"/>
            </a:rPr>
            <a:t>®</a:t>
          </a:r>
          <a:r>
            <a:rPr lang="en-US" sz="900">
              <a:latin typeface="Arial" pitchFamily="34" charset="0"/>
              <a:cs typeface="Arial" pitchFamily="34" charset="0"/>
            </a:rPr>
            <a:t>, Seedcare™, Sierra</a:t>
          </a:r>
          <a:r>
            <a:rPr lang="en-US" sz="900" baseline="30000">
              <a:latin typeface="Arial" pitchFamily="34" charset="0"/>
              <a:cs typeface="Arial" pitchFamily="34" charset="0"/>
            </a:rPr>
            <a:t>®</a:t>
          </a:r>
          <a:r>
            <a:rPr lang="en-US" sz="900">
              <a:latin typeface="Arial" pitchFamily="34" charset="0"/>
              <a:cs typeface="Arial" pitchFamily="34" charset="0"/>
            </a:rPr>
            <a:t>, Takkle</a:t>
          </a:r>
          <a:r>
            <a:rPr lang="en-US" sz="900" baseline="30000">
              <a:solidFill>
                <a:schemeClr val="dk1"/>
              </a:solidFill>
              <a:latin typeface="Arial" pitchFamily="34" charset="0"/>
              <a:ea typeface="+mn-ea"/>
              <a:cs typeface="Arial" pitchFamily="34" charset="0"/>
            </a:rPr>
            <a:t>®</a:t>
          </a:r>
          <a:r>
            <a:rPr lang="en-US" sz="900">
              <a:latin typeface="Arial" pitchFamily="34" charset="0"/>
              <a:cs typeface="Arial" pitchFamily="34" charset="0"/>
            </a:rPr>
            <a:t>, Target</a:t>
          </a:r>
          <a:r>
            <a:rPr lang="en-US" sz="900" baseline="30000">
              <a:latin typeface="Arial" pitchFamily="34" charset="0"/>
              <a:cs typeface="Arial" pitchFamily="34" charset="0"/>
            </a:rPr>
            <a:t>®</a:t>
          </a:r>
          <a:r>
            <a:rPr lang="en-US" sz="900">
              <a:latin typeface="Arial" pitchFamily="34" charset="0"/>
              <a:cs typeface="Arial" pitchFamily="34" charset="0"/>
            </a:rPr>
            <a:t>, Tilt</a:t>
          </a:r>
          <a:r>
            <a:rPr lang="en-US" sz="900" baseline="30000">
              <a:latin typeface="Arial" pitchFamily="34" charset="0"/>
              <a:cs typeface="Arial" pitchFamily="34" charset="0"/>
            </a:rPr>
            <a:t>®</a:t>
          </a:r>
          <a:r>
            <a:rPr lang="en-US" sz="900">
              <a:latin typeface="Arial" pitchFamily="34" charset="0"/>
              <a:cs typeface="Arial" pitchFamily="34" charset="0"/>
            </a:rPr>
            <a:t> ,Touchdown Total</a:t>
          </a:r>
          <a:r>
            <a:rPr lang="en-US" sz="900" baseline="30000">
              <a:latin typeface="Arial" pitchFamily="34" charset="0"/>
              <a:cs typeface="Arial" pitchFamily="34" charset="0"/>
            </a:rPr>
            <a:t>®</a:t>
          </a:r>
          <a:r>
            <a:rPr lang="en-US" sz="900">
              <a:latin typeface="Arial" pitchFamily="34" charset="0"/>
              <a:cs typeface="Arial" pitchFamily="34" charset="0"/>
            </a:rPr>
            <a:t>, Traxion</a:t>
          </a:r>
          <a:r>
            <a:rPr lang="en-US" sz="900" baseline="30000">
              <a:solidFill>
                <a:schemeClr val="dk1"/>
              </a:solidFill>
              <a:latin typeface="Arial" pitchFamily="34" charset="0"/>
              <a:ea typeface="+mn-ea"/>
              <a:cs typeface="Arial" pitchFamily="34" charset="0"/>
            </a:rPr>
            <a:t>®</a:t>
          </a:r>
          <a:r>
            <a:rPr lang="en-US" sz="900" baseline="0">
              <a:solidFill>
                <a:schemeClr val="dk1"/>
              </a:solidFill>
              <a:latin typeface="Arial" pitchFamily="34" charset="0"/>
              <a:ea typeface="+mn-ea"/>
              <a:cs typeface="Arial" pitchFamily="34" charset="0"/>
            </a:rPr>
            <a:t>, Traxos</a:t>
          </a:r>
          <a:r>
            <a:rPr lang="en-US" sz="900" baseline="30000">
              <a:solidFill>
                <a:schemeClr val="dk1"/>
              </a:solidFill>
              <a:latin typeface="Arial" pitchFamily="34" charset="0"/>
              <a:ea typeface="+mn-ea"/>
              <a:cs typeface="Arial" pitchFamily="34" charset="0"/>
            </a:rPr>
            <a:t>® </a:t>
          </a:r>
          <a:r>
            <a:rPr lang="en-US" sz="900">
              <a:latin typeface="Arial" pitchFamily="34" charset="0"/>
              <a:cs typeface="Arial" pitchFamily="34" charset="0"/>
            </a:rPr>
            <a:t>and the Syngenta logo</a:t>
          </a:r>
          <a:r>
            <a:rPr lang="en-US" sz="900" baseline="0">
              <a:latin typeface="Arial" pitchFamily="34" charset="0"/>
              <a:cs typeface="Arial" pitchFamily="34" charset="0"/>
            </a:rPr>
            <a:t> </a:t>
          </a:r>
          <a:r>
            <a:rPr lang="en-US" sz="900">
              <a:latin typeface="Arial" pitchFamily="34" charset="0"/>
              <a:cs typeface="Arial" pitchFamily="34" charset="0"/>
            </a:rPr>
            <a:t>are registered trademarks of a Syngenta Group Company.  Avenge</a:t>
          </a:r>
          <a:r>
            <a:rPr lang="en-US" sz="900" baseline="30000">
              <a:latin typeface="Arial" pitchFamily="34" charset="0"/>
              <a:cs typeface="Arial" pitchFamily="34" charset="0"/>
            </a:rPr>
            <a:t>®</a:t>
          </a:r>
          <a:r>
            <a:rPr lang="en-US" sz="900">
              <a:latin typeface="Arial" pitchFamily="34" charset="0"/>
              <a:cs typeface="Arial" pitchFamily="34" charset="0"/>
            </a:rPr>
            <a:t> is a trademark of Amvac Chemical Corporation.  iPak™ is a trademark of Bayer. © 2012 Syngenta Canada Inc.  </a:t>
          </a:r>
        </a:p>
      </xdr:txBody>
    </xdr:sp>
    <xdr:clientData/>
  </xdr:twoCellAnchor>
  <xdr:twoCellAnchor>
    <xdr:from>
      <xdr:col>3</xdr:col>
      <xdr:colOff>161924</xdr:colOff>
      <xdr:row>64</xdr:row>
      <xdr:rowOff>85725</xdr:rowOff>
    </xdr:from>
    <xdr:to>
      <xdr:col>7</xdr:col>
      <xdr:colOff>409575</xdr:colOff>
      <xdr:row>71</xdr:row>
      <xdr:rowOff>228600</xdr:rowOff>
    </xdr:to>
    <xdr:sp macro="" textlink="">
      <xdr:nvSpPr>
        <xdr:cNvPr id="4" name="TextBox 3"/>
        <xdr:cNvSpPr txBox="1"/>
      </xdr:nvSpPr>
      <xdr:spPr>
        <a:xfrm>
          <a:off x="3914774" y="14887575"/>
          <a:ext cx="5314951" cy="1809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000" i="1">
              <a:latin typeface="Arial" pitchFamily="34" charset="0"/>
              <a:cs typeface="Arial" pitchFamily="34" charset="0"/>
            </a:rPr>
            <a:t>* Traxion counts as a qualifier for the Pre-Seed Bonus.</a:t>
          </a:r>
        </a:p>
        <a:p>
          <a:r>
            <a:rPr lang="en-US" sz="1000" i="1">
              <a:latin typeface="Arial" pitchFamily="34" charset="0"/>
              <a:cs typeface="Arial" pitchFamily="34" charset="0"/>
            </a:rPr>
            <a:t>** The Cruiser Maxx</a:t>
          </a:r>
          <a:r>
            <a:rPr lang="en-US" sz="1000" i="1" baseline="30000">
              <a:latin typeface="Arial" pitchFamily="34" charset="0"/>
              <a:cs typeface="Arial" pitchFamily="34" charset="0"/>
            </a:rPr>
            <a:t>®</a:t>
          </a:r>
          <a:r>
            <a:rPr lang="en-US" sz="1000" i="1">
              <a:latin typeface="Arial" pitchFamily="34" charset="0"/>
              <a:cs typeface="Arial" pitchFamily="34" charset="0"/>
            </a:rPr>
            <a:t> Pulses includes 1 x 56.78 L of Cruiser 5FS and 2 x 56.78 L                      Apron Maxx RFC.</a:t>
          </a:r>
        </a:p>
        <a:p>
          <a:r>
            <a:rPr lang="en-US" sz="1000" i="1">
              <a:latin typeface="Arial" pitchFamily="34" charset="0"/>
              <a:cs typeface="Arial" pitchFamily="34" charset="0"/>
            </a:rPr>
            <a:t>***</a:t>
          </a:r>
          <a:r>
            <a:rPr lang="en-US" sz="1000" i="1" baseline="0">
              <a:latin typeface="Arial" pitchFamily="34" charset="0"/>
              <a:cs typeface="Arial" pitchFamily="34" charset="0"/>
            </a:rPr>
            <a:t> WR859 CL is calculated at a seeding rate of 1.41 bu/acre.</a:t>
          </a:r>
          <a:endParaRPr lang="en-US" sz="1000" i="1">
            <a:latin typeface="Arial" pitchFamily="34" charset="0"/>
            <a:cs typeface="Arial" pitchFamily="34" charset="0"/>
          </a:endParaRPr>
        </a:p>
        <a:p>
          <a:r>
            <a:rPr lang="en-US" sz="1000" i="1">
              <a:latin typeface="Arial" pitchFamily="34" charset="0"/>
              <a:cs typeface="Arial" pitchFamily="34" charset="0"/>
            </a:rPr>
            <a:t>**** In order to qualify for the Pre-Seed Bonus and the Crop Enhancement Bonus, a grower</a:t>
          </a:r>
          <a:r>
            <a:rPr lang="en-US" sz="1000" i="1" baseline="0">
              <a:latin typeface="Arial" pitchFamily="34" charset="0"/>
              <a:cs typeface="Arial" pitchFamily="34" charset="0"/>
            </a:rPr>
            <a:t> </a:t>
          </a:r>
          <a:r>
            <a:rPr lang="en-US" sz="1000" i="1">
              <a:latin typeface="Arial" pitchFamily="34" charset="0"/>
              <a:cs typeface="Arial" pitchFamily="34" charset="0"/>
            </a:rPr>
            <a:t>must purchase 160 acres of graminicide products OR 960 acres of broadleaf products (excluding Dual II Magnum) OR 160 acres of WR859 CL (6.15 tonnes), and a minimum of $10,000 of Syngenta purchases.</a:t>
          </a:r>
        </a:p>
        <a:p>
          <a:pPr marL="0" marR="0" indent="0" defTabSz="914400" eaLnBrk="1" fontAlgn="auto" latinLnBrk="0" hangingPunct="1">
            <a:lnSpc>
              <a:spcPct val="100000"/>
            </a:lnSpc>
            <a:spcBef>
              <a:spcPts val="0"/>
            </a:spcBef>
            <a:spcAft>
              <a:spcPts val="0"/>
            </a:spcAft>
            <a:buClrTx/>
            <a:buSzTx/>
            <a:buFontTx/>
            <a:buNone/>
            <a:tabLst/>
            <a:defRPr/>
          </a:pPr>
          <a:r>
            <a:rPr lang="en-US" sz="1000" i="1">
              <a:solidFill>
                <a:schemeClr val="dk1"/>
              </a:solidFill>
              <a:latin typeface="Arial" pitchFamily="34" charset="0"/>
              <a:ea typeface="+mn-ea"/>
              <a:cs typeface="Arial" pitchFamily="34" charset="0"/>
            </a:rPr>
            <a:t>*****This is a planning tool only, actual rewards may not be exactly as calculated. Actual rewards will be based  on invoice price. Prices in this tool are based on 2012 suggested retail pricing (SRP).</a:t>
          </a:r>
          <a:endParaRPr lang="en-US" sz="1000">
            <a:latin typeface="Arial" pitchFamily="34" charset="0"/>
            <a:cs typeface="Arial" pitchFamily="34" charset="0"/>
          </a:endParaRPr>
        </a:p>
        <a:p>
          <a:endParaRPr lang="en-US" sz="1000" i="1">
            <a:latin typeface="Arial" pitchFamily="34" charset="0"/>
            <a:cs typeface="Arial" pitchFamily="34" charset="0"/>
          </a:endParaRPr>
        </a:p>
        <a:p>
          <a:endParaRPr lang="en-US" sz="1100" i="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284"/>
  <sheetViews>
    <sheetView tabSelected="1" topLeftCell="B1" zoomScale="90" zoomScaleNormal="90" workbookViewId="0">
      <selection activeCell="F14" sqref="F14"/>
    </sheetView>
  </sheetViews>
  <sheetFormatPr defaultRowHeight="15.75" x14ac:dyDescent="0.25"/>
  <cols>
    <col min="1" max="1" width="2.28515625" style="1" customWidth="1"/>
    <col min="2" max="2" width="36" style="1" customWidth="1"/>
    <col min="3" max="3" width="18.85546875" style="2" customWidth="1"/>
    <col min="4" max="4" width="11.7109375" style="2" customWidth="1"/>
    <col min="5" max="5" width="14.28515625" style="2" customWidth="1"/>
    <col min="6" max="6" width="33.42578125" style="38" customWidth="1"/>
    <col min="7" max="7" width="16.5703125" style="4" customWidth="1"/>
    <col min="8" max="8" width="17.42578125" style="1" customWidth="1"/>
    <col min="9" max="9" width="1.42578125" style="1" customWidth="1"/>
    <col min="10" max="10" width="9.140625" style="1"/>
    <col min="11" max="11" width="0" style="1" hidden="1" customWidth="1"/>
    <col min="12" max="16384" width="9.140625" style="1"/>
  </cols>
  <sheetData>
    <row r="1" spans="1:11" ht="5.25" customHeight="1" x14ac:dyDescent="0.25">
      <c r="A1" s="8"/>
      <c r="B1" s="19"/>
      <c r="C1" s="9"/>
      <c r="D1" s="9"/>
      <c r="E1" s="9"/>
      <c r="F1" s="10"/>
      <c r="G1" s="10"/>
      <c r="H1" s="19"/>
      <c r="I1" s="11"/>
    </row>
    <row r="2" spans="1:11" ht="27" x14ac:dyDescent="0.35">
      <c r="A2" s="14"/>
      <c r="D2" s="83" t="s">
        <v>62</v>
      </c>
      <c r="E2" s="12"/>
      <c r="F2" s="85" t="s">
        <v>13</v>
      </c>
      <c r="G2" s="22"/>
      <c r="H2" s="46">
        <v>41065</v>
      </c>
      <c r="I2" s="13"/>
    </row>
    <row r="3" spans="1:11" s="6" customFormat="1" ht="31.5" x14ac:dyDescent="0.25">
      <c r="A3" s="20"/>
      <c r="B3" s="106" t="s">
        <v>66</v>
      </c>
      <c r="C3" s="105" t="s">
        <v>6</v>
      </c>
      <c r="D3" s="104" t="s">
        <v>0</v>
      </c>
      <c r="E3" s="104" t="s">
        <v>72</v>
      </c>
      <c r="F3" s="107" t="s">
        <v>4</v>
      </c>
      <c r="G3" s="104" t="s">
        <v>9</v>
      </c>
      <c r="H3" s="107" t="s">
        <v>65</v>
      </c>
      <c r="I3" s="15"/>
    </row>
    <row r="4" spans="1:11" ht="20.25" customHeight="1" x14ac:dyDescent="0.25">
      <c r="A4" s="14"/>
      <c r="B4" s="66" t="s">
        <v>26</v>
      </c>
      <c r="C4" s="39">
        <v>40</v>
      </c>
      <c r="D4" s="71" t="s">
        <v>1</v>
      </c>
      <c r="E4" s="122">
        <v>878</v>
      </c>
      <c r="F4" s="86"/>
      <c r="G4" s="79">
        <f>F4*E4</f>
        <v>0</v>
      </c>
      <c r="H4" s="77">
        <f>F4*C4</f>
        <v>0</v>
      </c>
      <c r="I4" s="13"/>
    </row>
    <row r="5" spans="1:11" ht="20.25" customHeight="1" x14ac:dyDescent="0.25">
      <c r="A5" s="14"/>
      <c r="B5" s="66" t="s">
        <v>54</v>
      </c>
      <c r="C5" s="39">
        <v>320</v>
      </c>
      <c r="D5" s="71" t="s">
        <v>8</v>
      </c>
      <c r="E5" s="122">
        <v>7024</v>
      </c>
      <c r="F5" s="86"/>
      <c r="G5" s="80">
        <f t="shared" ref="G5:G15" si="0">F5*E5</f>
        <v>0</v>
      </c>
      <c r="H5" s="77">
        <f t="shared" ref="H5:H15" si="1">F5*C5</f>
        <v>0</v>
      </c>
      <c r="I5" s="13"/>
    </row>
    <row r="6" spans="1:11" ht="17.25" customHeight="1" x14ac:dyDescent="0.25">
      <c r="A6" s="14"/>
      <c r="B6" s="66" t="s">
        <v>64</v>
      </c>
      <c r="C6" s="39">
        <v>20</v>
      </c>
      <c r="D6" s="71" t="s">
        <v>1</v>
      </c>
      <c r="E6" s="122">
        <v>564</v>
      </c>
      <c r="F6" s="86"/>
      <c r="G6" s="80">
        <f t="shared" si="0"/>
        <v>0</v>
      </c>
      <c r="H6" s="78">
        <f>F6*C6</f>
        <v>0</v>
      </c>
      <c r="I6" s="13"/>
      <c r="K6" s="3"/>
    </row>
    <row r="7" spans="1:11" ht="17.25" customHeight="1" x14ac:dyDescent="0.25">
      <c r="A7" s="14"/>
      <c r="B7" s="66" t="s">
        <v>75</v>
      </c>
      <c r="C7" s="39">
        <v>40</v>
      </c>
      <c r="D7" s="71" t="s">
        <v>1</v>
      </c>
      <c r="E7" s="123">
        <v>1058</v>
      </c>
      <c r="F7" s="86"/>
      <c r="G7" s="80">
        <f t="shared" si="0"/>
        <v>0</v>
      </c>
      <c r="H7" s="78">
        <f>F7*C7</f>
        <v>0</v>
      </c>
      <c r="I7" s="13"/>
      <c r="K7" s="3"/>
    </row>
    <row r="8" spans="1:11" ht="17.25" customHeight="1" x14ac:dyDescent="0.25">
      <c r="A8" s="14"/>
      <c r="B8" s="66" t="s">
        <v>41</v>
      </c>
      <c r="C8" s="40">
        <v>80</v>
      </c>
      <c r="D8" s="71" t="s">
        <v>63</v>
      </c>
      <c r="E8" s="122">
        <v>1703</v>
      </c>
      <c r="F8" s="86"/>
      <c r="G8" s="80">
        <f t="shared" si="0"/>
        <v>0</v>
      </c>
      <c r="H8" s="78">
        <f t="shared" si="1"/>
        <v>0</v>
      </c>
      <c r="I8" s="13"/>
    </row>
    <row r="9" spans="1:11" ht="17.25" customHeight="1" x14ac:dyDescent="0.25">
      <c r="A9" s="14"/>
      <c r="B9" s="69" t="s">
        <v>76</v>
      </c>
      <c r="C9" s="39">
        <v>40</v>
      </c>
      <c r="D9" s="71" t="s">
        <v>1</v>
      </c>
      <c r="E9" s="122">
        <v>1016</v>
      </c>
      <c r="F9" s="86"/>
      <c r="G9" s="80">
        <f t="shared" si="0"/>
        <v>0</v>
      </c>
      <c r="H9" s="78">
        <f t="shared" si="1"/>
        <v>0</v>
      </c>
      <c r="I9" s="13"/>
    </row>
    <row r="10" spans="1:11" ht="17.25" customHeight="1" x14ac:dyDescent="0.25">
      <c r="A10" s="14"/>
      <c r="B10" s="66" t="s">
        <v>77</v>
      </c>
      <c r="C10" s="39">
        <v>320</v>
      </c>
      <c r="D10" s="71" t="s">
        <v>8</v>
      </c>
      <c r="E10" s="122">
        <v>8128</v>
      </c>
      <c r="F10" s="86"/>
      <c r="G10" s="80">
        <f t="shared" si="0"/>
        <v>0</v>
      </c>
      <c r="H10" s="78">
        <f t="shared" si="1"/>
        <v>0</v>
      </c>
      <c r="I10" s="13"/>
    </row>
    <row r="11" spans="1:11" ht="17.25" customHeight="1" x14ac:dyDescent="0.25">
      <c r="A11" s="14"/>
      <c r="B11" s="66" t="s">
        <v>25</v>
      </c>
      <c r="C11" s="39">
        <v>40</v>
      </c>
      <c r="D11" s="71" t="s">
        <v>1</v>
      </c>
      <c r="E11" s="122">
        <v>678</v>
      </c>
      <c r="F11" s="86"/>
      <c r="G11" s="80">
        <f t="shared" si="0"/>
        <v>0</v>
      </c>
      <c r="H11" s="78">
        <f t="shared" si="1"/>
        <v>0</v>
      </c>
      <c r="I11" s="13"/>
    </row>
    <row r="12" spans="1:11" ht="17.25" customHeight="1" x14ac:dyDescent="0.25">
      <c r="A12" s="14"/>
      <c r="B12" s="66" t="s">
        <v>78</v>
      </c>
      <c r="C12" s="39">
        <v>320</v>
      </c>
      <c r="D12" s="71" t="s">
        <v>8</v>
      </c>
      <c r="E12" s="122">
        <v>5424</v>
      </c>
      <c r="F12" s="86"/>
      <c r="G12" s="80">
        <f t="shared" si="0"/>
        <v>0</v>
      </c>
      <c r="H12" s="78">
        <f t="shared" si="1"/>
        <v>0</v>
      </c>
      <c r="I12" s="13"/>
    </row>
    <row r="13" spans="1:11" ht="17.25" customHeight="1" x14ac:dyDescent="0.25">
      <c r="A13" s="14"/>
      <c r="B13" s="113" t="s">
        <v>79</v>
      </c>
      <c r="C13" s="39">
        <v>80</v>
      </c>
      <c r="D13" s="71" t="s">
        <v>2</v>
      </c>
      <c r="E13" s="122">
        <v>1584</v>
      </c>
      <c r="F13" s="86"/>
      <c r="G13" s="80">
        <f>F13*E13</f>
        <v>0</v>
      </c>
      <c r="H13" s="78">
        <f>F13*C13</f>
        <v>0</v>
      </c>
      <c r="I13" s="13"/>
    </row>
    <row r="14" spans="1:11" ht="17.25" customHeight="1" x14ac:dyDescent="0.25">
      <c r="A14" s="14"/>
      <c r="B14" s="66" t="s">
        <v>80</v>
      </c>
      <c r="C14" s="39">
        <v>40</v>
      </c>
      <c r="D14" s="71" t="s">
        <v>1</v>
      </c>
      <c r="E14" s="122">
        <v>700</v>
      </c>
      <c r="F14" s="86"/>
      <c r="G14" s="80">
        <f>F14*E14</f>
        <v>0</v>
      </c>
      <c r="H14" s="78">
        <f>F14*C14</f>
        <v>0</v>
      </c>
      <c r="I14" s="13"/>
    </row>
    <row r="15" spans="1:11" ht="17.25" customHeight="1" x14ac:dyDescent="0.25">
      <c r="A15" s="14"/>
      <c r="B15" s="66" t="s">
        <v>81</v>
      </c>
      <c r="C15" s="39">
        <v>160</v>
      </c>
      <c r="D15" s="71" t="s">
        <v>8</v>
      </c>
      <c r="E15" s="122">
        <v>2800</v>
      </c>
      <c r="F15" s="86"/>
      <c r="G15" s="80">
        <f t="shared" si="0"/>
        <v>0</v>
      </c>
      <c r="H15" s="78">
        <f t="shared" si="1"/>
        <v>0</v>
      </c>
      <c r="I15" s="13"/>
    </row>
    <row r="16" spans="1:11" ht="31.5" x14ac:dyDescent="0.25">
      <c r="A16" s="14"/>
      <c r="B16" s="106" t="s">
        <v>67</v>
      </c>
      <c r="C16" s="105" t="s">
        <v>6</v>
      </c>
      <c r="D16" s="104" t="s">
        <v>0</v>
      </c>
      <c r="E16" s="104" t="s">
        <v>68</v>
      </c>
      <c r="F16" s="105" t="s">
        <v>4</v>
      </c>
      <c r="G16" s="104" t="s">
        <v>9</v>
      </c>
      <c r="H16" s="107" t="s">
        <v>65</v>
      </c>
      <c r="I16" s="13"/>
    </row>
    <row r="17" spans="1:9" x14ac:dyDescent="0.25">
      <c r="A17" s="14"/>
      <c r="B17" s="67" t="s">
        <v>82</v>
      </c>
      <c r="C17" s="41">
        <v>80</v>
      </c>
      <c r="D17" s="72" t="s">
        <v>1</v>
      </c>
      <c r="E17" s="124">
        <v>436</v>
      </c>
      <c r="F17" s="86"/>
      <c r="G17" s="79">
        <f>F17*E17</f>
        <v>0</v>
      </c>
      <c r="H17" s="78">
        <f>F17*C17</f>
        <v>0</v>
      </c>
      <c r="I17" s="13"/>
    </row>
    <row r="18" spans="1:9" x14ac:dyDescent="0.25">
      <c r="A18" s="14"/>
      <c r="B18" s="67" t="s">
        <v>83</v>
      </c>
      <c r="C18" s="41">
        <v>320</v>
      </c>
      <c r="D18" s="71" t="s">
        <v>8</v>
      </c>
      <c r="E18" s="123">
        <v>1744</v>
      </c>
      <c r="F18" s="86"/>
      <c r="G18" s="80">
        <f>F18*E18</f>
        <v>0</v>
      </c>
      <c r="H18" s="78">
        <f>F18*C18</f>
        <v>0</v>
      </c>
      <c r="I18" s="13"/>
    </row>
    <row r="19" spans="1:9" x14ac:dyDescent="0.25">
      <c r="A19" s="14"/>
      <c r="B19" s="66" t="s">
        <v>27</v>
      </c>
      <c r="C19" s="55">
        <v>40</v>
      </c>
      <c r="D19" s="72" t="s">
        <v>1</v>
      </c>
      <c r="E19" s="123">
        <v>270</v>
      </c>
      <c r="F19" s="86"/>
      <c r="G19" s="80">
        <f>F19*E19</f>
        <v>0</v>
      </c>
      <c r="H19" s="78">
        <f>F19*C19</f>
        <v>0</v>
      </c>
      <c r="I19" s="13"/>
    </row>
    <row r="20" spans="1:9" x14ac:dyDescent="0.25">
      <c r="A20" s="14"/>
      <c r="B20" s="66" t="s">
        <v>84</v>
      </c>
      <c r="C20" s="55">
        <v>320</v>
      </c>
      <c r="D20" s="71" t="s">
        <v>8</v>
      </c>
      <c r="E20" s="123">
        <v>2160</v>
      </c>
      <c r="F20" s="86"/>
      <c r="G20" s="80">
        <f>F20*E20</f>
        <v>0</v>
      </c>
      <c r="H20" s="78">
        <f>F20*C20</f>
        <v>0</v>
      </c>
      <c r="I20" s="56"/>
    </row>
    <row r="21" spans="1:9" ht="17.25" customHeight="1" x14ac:dyDescent="0.25">
      <c r="A21" s="14"/>
      <c r="B21" s="66" t="s">
        <v>94</v>
      </c>
      <c r="C21" s="57">
        <v>40</v>
      </c>
      <c r="D21" s="71" t="s">
        <v>2</v>
      </c>
      <c r="E21" s="125">
        <v>527.47</v>
      </c>
      <c r="F21" s="86"/>
      <c r="G21" s="81">
        <f>E21*F21</f>
        <v>0</v>
      </c>
      <c r="H21" s="58"/>
      <c r="I21" s="13"/>
    </row>
    <row r="22" spans="1:9" s="5" customFormat="1" ht="32.25" customHeight="1" x14ac:dyDescent="0.25">
      <c r="A22" s="21"/>
      <c r="B22" s="102" t="s">
        <v>61</v>
      </c>
      <c r="C22" s="103" t="s">
        <v>6</v>
      </c>
      <c r="D22" s="104" t="s">
        <v>0</v>
      </c>
      <c r="E22" s="104" t="s">
        <v>68</v>
      </c>
      <c r="F22" s="105" t="s">
        <v>4</v>
      </c>
      <c r="G22" s="104" t="s">
        <v>9</v>
      </c>
      <c r="H22" s="27"/>
      <c r="I22" s="16" t="s">
        <v>5</v>
      </c>
    </row>
    <row r="23" spans="1:9" ht="17.25" customHeight="1" x14ac:dyDescent="0.25">
      <c r="A23" s="14"/>
      <c r="B23" s="66" t="s">
        <v>85</v>
      </c>
      <c r="C23" s="39">
        <v>160</v>
      </c>
      <c r="D23" s="71" t="s">
        <v>1</v>
      </c>
      <c r="E23" s="123">
        <v>1090.1099999999999</v>
      </c>
      <c r="F23" s="86"/>
      <c r="G23" s="80">
        <f t="shared" ref="G23:G28" si="2">F23*E23</f>
        <v>0</v>
      </c>
      <c r="H23" s="24"/>
      <c r="I23" s="13"/>
    </row>
    <row r="24" spans="1:9" ht="17.25" customHeight="1" x14ac:dyDescent="0.25">
      <c r="A24" s="14"/>
      <c r="B24" s="68" t="s">
        <v>28</v>
      </c>
      <c r="C24" s="40">
        <v>160</v>
      </c>
      <c r="D24" s="71" t="s">
        <v>1</v>
      </c>
      <c r="E24" s="123">
        <v>1066.27</v>
      </c>
      <c r="F24" s="86"/>
      <c r="G24" s="80">
        <f t="shared" si="2"/>
        <v>0</v>
      </c>
      <c r="H24" s="24"/>
      <c r="I24" s="13"/>
    </row>
    <row r="25" spans="1:9" ht="17.25" customHeight="1" x14ac:dyDescent="0.25">
      <c r="A25" s="14"/>
      <c r="B25" s="68" t="s">
        <v>86</v>
      </c>
      <c r="C25" s="40">
        <v>920</v>
      </c>
      <c r="D25" s="71" t="s">
        <v>52</v>
      </c>
      <c r="E25" s="123">
        <v>6131.06</v>
      </c>
      <c r="F25" s="86"/>
      <c r="G25" s="80">
        <f t="shared" si="2"/>
        <v>0</v>
      </c>
      <c r="H25" s="24"/>
      <c r="I25" s="13"/>
    </row>
    <row r="26" spans="1:9" ht="17.25" customHeight="1" x14ac:dyDescent="0.25">
      <c r="A26" s="14"/>
      <c r="B26" s="68" t="s">
        <v>87</v>
      </c>
      <c r="C26" s="40">
        <v>830</v>
      </c>
      <c r="D26" s="73" t="s">
        <v>22</v>
      </c>
      <c r="E26" s="123">
        <v>12747.04</v>
      </c>
      <c r="F26" s="86"/>
      <c r="G26" s="80">
        <f t="shared" si="2"/>
        <v>0</v>
      </c>
      <c r="H26" s="24"/>
      <c r="I26" s="13"/>
    </row>
    <row r="27" spans="1:9" ht="17.25" customHeight="1" x14ac:dyDescent="0.25">
      <c r="A27" s="14"/>
      <c r="B27" s="68" t="s">
        <v>88</v>
      </c>
      <c r="C27" s="40">
        <v>1390</v>
      </c>
      <c r="D27" s="73" t="s">
        <v>0</v>
      </c>
      <c r="E27" s="122">
        <v>36587.4</v>
      </c>
      <c r="F27" s="112"/>
      <c r="G27" s="80">
        <f t="shared" si="2"/>
        <v>0</v>
      </c>
      <c r="H27" s="24"/>
      <c r="I27" s="13"/>
    </row>
    <row r="28" spans="1:9" ht="17.25" customHeight="1" x14ac:dyDescent="0.25">
      <c r="A28" s="14"/>
      <c r="B28" s="68" t="s">
        <v>29</v>
      </c>
      <c r="C28" s="40">
        <v>160</v>
      </c>
      <c r="D28" s="73" t="s">
        <v>1</v>
      </c>
      <c r="E28" s="123">
        <v>637.9</v>
      </c>
      <c r="F28" s="86"/>
      <c r="G28" s="80">
        <f t="shared" si="2"/>
        <v>0</v>
      </c>
      <c r="H28" s="24"/>
      <c r="I28" s="13"/>
    </row>
    <row r="29" spans="1:9" ht="17.25" customHeight="1" x14ac:dyDescent="0.25">
      <c r="A29" s="14"/>
      <c r="B29" s="66" t="s">
        <v>49</v>
      </c>
      <c r="C29" s="39">
        <v>10</v>
      </c>
      <c r="D29" s="71" t="s">
        <v>3</v>
      </c>
      <c r="E29" s="123">
        <v>75</v>
      </c>
      <c r="F29" s="86"/>
      <c r="G29" s="80">
        <f>E29*F29</f>
        <v>0</v>
      </c>
      <c r="H29" s="24"/>
      <c r="I29" s="13"/>
    </row>
    <row r="30" spans="1:9" s="5" customFormat="1" ht="32.25" customHeight="1" x14ac:dyDescent="0.25">
      <c r="A30" s="21"/>
      <c r="B30" s="102" t="s">
        <v>56</v>
      </c>
      <c r="C30" s="103" t="s">
        <v>6</v>
      </c>
      <c r="D30" s="104" t="s">
        <v>0</v>
      </c>
      <c r="E30" s="104" t="s">
        <v>70</v>
      </c>
      <c r="F30" s="105" t="s">
        <v>12</v>
      </c>
      <c r="G30" s="104" t="s">
        <v>9</v>
      </c>
      <c r="H30" s="27"/>
      <c r="I30" s="16" t="s">
        <v>5</v>
      </c>
    </row>
    <row r="31" spans="1:9" ht="17.25" customHeight="1" x14ac:dyDescent="0.25">
      <c r="A31" s="14"/>
      <c r="B31" s="66" t="s">
        <v>89</v>
      </c>
      <c r="C31" s="39">
        <v>1</v>
      </c>
      <c r="D31" s="71" t="s">
        <v>47</v>
      </c>
      <c r="E31" s="123">
        <v>13</v>
      </c>
      <c r="F31" s="86"/>
      <c r="G31" s="80">
        <f>F31*E31</f>
        <v>0</v>
      </c>
      <c r="H31" s="24"/>
      <c r="I31" s="13"/>
    </row>
    <row r="32" spans="1:9" ht="17.25" customHeight="1" x14ac:dyDescent="0.25">
      <c r="A32" s="14"/>
      <c r="B32" s="66" t="s">
        <v>59</v>
      </c>
      <c r="C32" s="39">
        <v>1</v>
      </c>
      <c r="D32" s="71" t="s">
        <v>47</v>
      </c>
      <c r="E32" s="123">
        <v>13.25</v>
      </c>
      <c r="F32" s="86"/>
      <c r="G32" s="80">
        <f>F32*E32</f>
        <v>0</v>
      </c>
      <c r="H32" s="24"/>
      <c r="I32" s="13"/>
    </row>
    <row r="33" spans="1:9" s="6" customFormat="1" ht="32.25" customHeight="1" x14ac:dyDescent="0.25">
      <c r="A33" s="20"/>
      <c r="B33" s="102" t="s">
        <v>42</v>
      </c>
      <c r="C33" s="103" t="s">
        <v>6</v>
      </c>
      <c r="D33" s="104" t="s">
        <v>0</v>
      </c>
      <c r="E33" s="104" t="s">
        <v>68</v>
      </c>
      <c r="F33" s="105" t="s">
        <v>4</v>
      </c>
      <c r="G33" s="104" t="s">
        <v>9</v>
      </c>
      <c r="H33" s="26"/>
      <c r="I33" s="15"/>
    </row>
    <row r="34" spans="1:9" ht="17.25" customHeight="1" x14ac:dyDescent="0.25">
      <c r="A34" s="14"/>
      <c r="B34" s="66" t="s">
        <v>48</v>
      </c>
      <c r="C34" s="39">
        <v>50</v>
      </c>
      <c r="D34" s="71" t="s">
        <v>1</v>
      </c>
      <c r="E34" s="123">
        <v>2002.7</v>
      </c>
      <c r="F34" s="86"/>
      <c r="G34" s="80">
        <f>F34*E34</f>
        <v>0</v>
      </c>
      <c r="H34" s="24"/>
      <c r="I34" s="13"/>
    </row>
    <row r="35" spans="1:9" ht="17.25" customHeight="1" x14ac:dyDescent="0.25">
      <c r="A35" s="14"/>
      <c r="B35" s="66" t="s">
        <v>44</v>
      </c>
      <c r="C35" s="39">
        <v>40</v>
      </c>
      <c r="D35" s="71" t="s">
        <v>1</v>
      </c>
      <c r="E35" s="123">
        <v>886.71</v>
      </c>
      <c r="F35" s="86"/>
      <c r="G35" s="80">
        <f t="shared" ref="G35:G40" si="3">F35*E35</f>
        <v>0</v>
      </c>
      <c r="H35" s="24"/>
      <c r="I35" s="13"/>
    </row>
    <row r="36" spans="1:9" ht="17.25" customHeight="1" x14ac:dyDescent="0.25">
      <c r="A36" s="14"/>
      <c r="B36" s="66" t="s">
        <v>53</v>
      </c>
      <c r="C36" s="39">
        <v>20</v>
      </c>
      <c r="D36" s="71" t="s">
        <v>1</v>
      </c>
      <c r="E36" s="123">
        <v>205.11</v>
      </c>
      <c r="F36" s="86"/>
      <c r="G36" s="80">
        <f t="shared" si="3"/>
        <v>0</v>
      </c>
      <c r="H36" s="24"/>
      <c r="I36" s="13"/>
    </row>
    <row r="37" spans="1:9" ht="17.25" customHeight="1" x14ac:dyDescent="0.25">
      <c r="A37" s="14"/>
      <c r="B37" s="66" t="s">
        <v>30</v>
      </c>
      <c r="C37" s="39">
        <v>80</v>
      </c>
      <c r="D37" s="71" t="s">
        <v>1</v>
      </c>
      <c r="E37" s="123">
        <v>1499.32</v>
      </c>
      <c r="F37" s="86"/>
      <c r="G37" s="80">
        <f t="shared" si="3"/>
        <v>0</v>
      </c>
      <c r="H37" s="34"/>
      <c r="I37" s="13"/>
    </row>
    <row r="38" spans="1:9" ht="17.25" customHeight="1" x14ac:dyDescent="0.25">
      <c r="A38" s="14"/>
      <c r="B38" s="66" t="s">
        <v>31</v>
      </c>
      <c r="C38" s="39">
        <v>50</v>
      </c>
      <c r="D38" s="71" t="s">
        <v>1</v>
      </c>
      <c r="E38" s="123">
        <v>655.99</v>
      </c>
      <c r="F38" s="86"/>
      <c r="G38" s="80">
        <f t="shared" si="3"/>
        <v>0</v>
      </c>
      <c r="H38" s="29"/>
      <c r="I38" s="13"/>
    </row>
    <row r="39" spans="1:9" ht="17.25" customHeight="1" x14ac:dyDescent="0.25">
      <c r="A39" s="14"/>
      <c r="B39" s="66" t="s">
        <v>32</v>
      </c>
      <c r="C39" s="39">
        <v>80</v>
      </c>
      <c r="D39" s="71" t="s">
        <v>1</v>
      </c>
      <c r="E39" s="123">
        <v>750.96</v>
      </c>
      <c r="F39" s="86"/>
      <c r="G39" s="80">
        <f t="shared" si="3"/>
        <v>0</v>
      </c>
      <c r="H39" s="24"/>
      <c r="I39" s="13"/>
    </row>
    <row r="40" spans="1:9" ht="17.25" customHeight="1" x14ac:dyDescent="0.25">
      <c r="A40" s="14"/>
      <c r="B40" s="66" t="s">
        <v>33</v>
      </c>
      <c r="C40" s="39">
        <v>440</v>
      </c>
      <c r="D40" s="71" t="s">
        <v>1</v>
      </c>
      <c r="E40" s="123">
        <v>2998.67</v>
      </c>
      <c r="F40" s="86"/>
      <c r="G40" s="80">
        <f t="shared" si="3"/>
        <v>0</v>
      </c>
      <c r="H40" s="24"/>
      <c r="I40" s="13"/>
    </row>
    <row r="41" spans="1:9" s="5" customFormat="1" ht="32.25" customHeight="1" x14ac:dyDescent="0.25">
      <c r="A41" s="21"/>
      <c r="B41" s="102" t="s">
        <v>23</v>
      </c>
      <c r="C41" s="103" t="s">
        <v>6</v>
      </c>
      <c r="D41" s="104" t="s">
        <v>0</v>
      </c>
      <c r="E41" s="104" t="s">
        <v>68</v>
      </c>
      <c r="F41" s="105" t="s">
        <v>4</v>
      </c>
      <c r="G41" s="104" t="s">
        <v>9</v>
      </c>
      <c r="H41" s="27"/>
      <c r="I41" s="16"/>
    </row>
    <row r="42" spans="1:9" ht="17.25" customHeight="1" x14ac:dyDescent="0.25">
      <c r="A42" s="14"/>
      <c r="B42" s="69" t="s">
        <v>34</v>
      </c>
      <c r="C42" s="39">
        <v>30</v>
      </c>
      <c r="D42" s="71" t="s">
        <v>1</v>
      </c>
      <c r="E42" s="123">
        <v>579.4</v>
      </c>
      <c r="F42" s="86"/>
      <c r="G42" s="80">
        <f>F42*E42</f>
        <v>0</v>
      </c>
      <c r="H42" s="30"/>
      <c r="I42" s="13"/>
    </row>
    <row r="43" spans="1:9" ht="17.25" customHeight="1" x14ac:dyDescent="0.25">
      <c r="A43" s="14"/>
      <c r="B43" s="69" t="s">
        <v>90</v>
      </c>
      <c r="C43" s="39">
        <v>230</v>
      </c>
      <c r="D43" s="71" t="s">
        <v>60</v>
      </c>
      <c r="E43" s="123">
        <v>1860.66</v>
      </c>
      <c r="F43" s="86"/>
      <c r="G43" s="80">
        <f>F43*E43</f>
        <v>0</v>
      </c>
      <c r="H43" s="30"/>
      <c r="I43" s="13"/>
    </row>
    <row r="44" spans="1:9" ht="17.25" customHeight="1" x14ac:dyDescent="0.25">
      <c r="A44" s="14"/>
      <c r="B44" s="68" t="s">
        <v>91</v>
      </c>
      <c r="C44" s="39">
        <v>1</v>
      </c>
      <c r="D44" s="71" t="s">
        <v>21</v>
      </c>
      <c r="E44" s="123">
        <v>5.38</v>
      </c>
      <c r="F44" s="86"/>
      <c r="G44" s="80">
        <f>F44*E44</f>
        <v>0</v>
      </c>
      <c r="H44" s="30"/>
      <c r="I44" s="13"/>
    </row>
    <row r="45" spans="1:9" s="3" customFormat="1" ht="17.25" customHeight="1" x14ac:dyDescent="0.25">
      <c r="A45" s="17"/>
      <c r="B45" s="68" t="s">
        <v>35</v>
      </c>
      <c r="C45" s="40">
        <v>1</v>
      </c>
      <c r="D45" s="73" t="s">
        <v>21</v>
      </c>
      <c r="E45" s="123">
        <v>3.45</v>
      </c>
      <c r="F45" s="86"/>
      <c r="G45" s="80">
        <f>F45*E45</f>
        <v>0</v>
      </c>
      <c r="H45" s="26"/>
      <c r="I45" s="18"/>
    </row>
    <row r="46" spans="1:9" s="3" customFormat="1" ht="17.25" customHeight="1" x14ac:dyDescent="0.25">
      <c r="A46" s="17"/>
      <c r="B46" s="68" t="s">
        <v>92</v>
      </c>
      <c r="C46" s="40">
        <v>1</v>
      </c>
      <c r="D46" s="73" t="s">
        <v>21</v>
      </c>
      <c r="E46" s="123">
        <v>2.95</v>
      </c>
      <c r="F46" s="86"/>
      <c r="G46" s="80">
        <f>F46*E46</f>
        <v>0</v>
      </c>
      <c r="H46" s="26"/>
      <c r="I46" s="18"/>
    </row>
    <row r="47" spans="1:9" s="6" customFormat="1" ht="32.25" customHeight="1" x14ac:dyDescent="0.25">
      <c r="A47" s="20"/>
      <c r="B47" s="102" t="s">
        <v>24</v>
      </c>
      <c r="C47" s="103" t="s">
        <v>6</v>
      </c>
      <c r="D47" s="104" t="s">
        <v>0</v>
      </c>
      <c r="E47" s="104" t="s">
        <v>68</v>
      </c>
      <c r="F47" s="105" t="s">
        <v>4</v>
      </c>
      <c r="G47" s="104" t="s">
        <v>9</v>
      </c>
      <c r="H47" s="26"/>
      <c r="I47" s="15"/>
    </row>
    <row r="48" spans="1:9" s="3" customFormat="1" ht="17.25" customHeight="1" x14ac:dyDescent="0.25">
      <c r="A48" s="17"/>
      <c r="B48" s="68" t="s">
        <v>36</v>
      </c>
      <c r="C48" s="40">
        <v>20</v>
      </c>
      <c r="D48" s="73" t="s">
        <v>1</v>
      </c>
      <c r="E48" s="123">
        <v>685.53</v>
      </c>
      <c r="F48" s="86"/>
      <c r="G48" s="80">
        <f t="shared" ref="G48:G54" si="4">F48*E48</f>
        <v>0</v>
      </c>
      <c r="H48" s="28"/>
      <c r="I48" s="18"/>
    </row>
    <row r="49" spans="1:12" ht="17.25" customHeight="1" x14ac:dyDescent="0.25">
      <c r="A49" s="14"/>
      <c r="B49" s="66" t="s">
        <v>37</v>
      </c>
      <c r="C49" s="39">
        <v>20</v>
      </c>
      <c r="D49" s="71" t="s">
        <v>1</v>
      </c>
      <c r="E49" s="126">
        <v>438.92</v>
      </c>
      <c r="F49" s="86"/>
      <c r="G49" s="80">
        <f t="shared" si="4"/>
        <v>0</v>
      </c>
      <c r="H49" s="24"/>
      <c r="I49" s="13"/>
    </row>
    <row r="50" spans="1:12" ht="17.25" customHeight="1" x14ac:dyDescent="0.25">
      <c r="A50" s="14"/>
      <c r="B50" s="66" t="s">
        <v>38</v>
      </c>
      <c r="C50" s="39">
        <v>10</v>
      </c>
      <c r="D50" s="71" t="s">
        <v>3</v>
      </c>
      <c r="E50" s="126">
        <v>148.11000000000001</v>
      </c>
      <c r="F50" s="86"/>
      <c r="G50" s="80">
        <f t="shared" si="4"/>
        <v>0</v>
      </c>
      <c r="H50" s="24"/>
      <c r="I50" s="13"/>
    </row>
    <row r="51" spans="1:12" ht="17.25" customHeight="1" x14ac:dyDescent="0.25">
      <c r="A51" s="14"/>
      <c r="B51" s="66" t="s">
        <v>93</v>
      </c>
      <c r="C51" s="39">
        <v>10</v>
      </c>
      <c r="D51" s="71" t="s">
        <v>3</v>
      </c>
      <c r="E51" s="126">
        <v>155.56</v>
      </c>
      <c r="F51" s="86"/>
      <c r="G51" s="80">
        <f t="shared" si="4"/>
        <v>0</v>
      </c>
      <c r="H51" s="24"/>
      <c r="I51" s="13"/>
    </row>
    <row r="52" spans="1:12" ht="17.25" customHeight="1" x14ac:dyDescent="0.25">
      <c r="A52" s="14"/>
      <c r="B52" s="66" t="s">
        <v>55</v>
      </c>
      <c r="C52" s="39">
        <v>60</v>
      </c>
      <c r="D52" s="71" t="s">
        <v>1</v>
      </c>
      <c r="E52" s="126">
        <v>1247.33</v>
      </c>
      <c r="F52" s="86"/>
      <c r="G52" s="80">
        <f t="shared" si="4"/>
        <v>0</v>
      </c>
      <c r="H52" s="24"/>
      <c r="I52" s="13"/>
    </row>
    <row r="53" spans="1:12" ht="17.25" customHeight="1" x14ac:dyDescent="0.25">
      <c r="A53" s="14"/>
      <c r="B53" s="66" t="s">
        <v>39</v>
      </c>
      <c r="C53" s="39">
        <v>40</v>
      </c>
      <c r="D53" s="71" t="s">
        <v>1</v>
      </c>
      <c r="E53" s="126">
        <v>862.89</v>
      </c>
      <c r="F53" s="86"/>
      <c r="G53" s="80">
        <f t="shared" si="4"/>
        <v>0</v>
      </c>
      <c r="H53" s="24"/>
      <c r="I53" s="13"/>
    </row>
    <row r="54" spans="1:12" ht="17.25" customHeight="1" x14ac:dyDescent="0.25">
      <c r="A54" s="14"/>
      <c r="B54" s="75" t="s">
        <v>40</v>
      </c>
      <c r="C54" s="76">
        <v>50</v>
      </c>
      <c r="D54" s="74" t="s">
        <v>1</v>
      </c>
      <c r="E54" s="127">
        <v>786.16</v>
      </c>
      <c r="F54" s="87"/>
      <c r="G54" s="81">
        <f t="shared" si="4"/>
        <v>0</v>
      </c>
      <c r="H54" s="24"/>
      <c r="I54" s="13"/>
    </row>
    <row r="55" spans="1:12" s="3" customFormat="1" ht="3.75" customHeight="1" thickBot="1" x14ac:dyDescent="0.3">
      <c r="A55" s="17"/>
      <c r="B55" s="70"/>
      <c r="C55" s="25"/>
      <c r="D55" s="25"/>
      <c r="E55" s="25"/>
      <c r="F55" s="25"/>
      <c r="G55" s="25"/>
      <c r="H55" s="28"/>
      <c r="I55" s="18"/>
    </row>
    <row r="56" spans="1:12" s="3" customFormat="1" ht="18.75" customHeight="1" thickBot="1" x14ac:dyDescent="0.3">
      <c r="A56" s="17"/>
      <c r="B56" s="109" t="s">
        <v>50</v>
      </c>
      <c r="C56" s="108">
        <f>SUM(H4:H15)</f>
        <v>0</v>
      </c>
      <c r="D56" s="25"/>
      <c r="E56" s="25"/>
      <c r="F56" s="25"/>
      <c r="G56" s="25"/>
      <c r="H56" s="28"/>
      <c r="I56" s="18"/>
    </row>
    <row r="57" spans="1:12" s="3" customFormat="1" ht="18.75" thickBot="1" x14ac:dyDescent="0.3">
      <c r="A57" s="17"/>
      <c r="B57" s="109" t="s">
        <v>51</v>
      </c>
      <c r="C57" s="108">
        <f>SUM(H17:H20)</f>
        <v>0</v>
      </c>
      <c r="D57" s="25"/>
      <c r="E57" s="28"/>
      <c r="F57" s="94" t="s">
        <v>9</v>
      </c>
      <c r="G57" s="95">
        <f>SUM(G4:G15)+SUM(G21:G21)+SUM(G23:G29)+SUM(G31:G32)+SUM(G34:G39)+G40+SUM(G42:G46)+SUM(G48:G54)+SUM(G17:G20)</f>
        <v>0</v>
      </c>
      <c r="H57" s="28"/>
      <c r="I57" s="18"/>
    </row>
    <row r="58" spans="1:12" s="3" customFormat="1" ht="18.75" customHeight="1" thickBot="1" x14ac:dyDescent="0.3">
      <c r="A58" s="17"/>
      <c r="B58" s="114" t="s">
        <v>71</v>
      </c>
      <c r="C58" s="115">
        <f>F31/1.41</f>
        <v>0</v>
      </c>
      <c r="D58" s="25"/>
      <c r="E58" s="25"/>
      <c r="F58" s="89"/>
      <c r="G58" s="88"/>
      <c r="H58" s="28"/>
      <c r="I58" s="18"/>
    </row>
    <row r="59" spans="1:12" s="3" customFormat="1" ht="20.25" customHeight="1" thickBot="1" x14ac:dyDescent="0.3">
      <c r="A59" s="17"/>
      <c r="B59" s="110" t="s">
        <v>20</v>
      </c>
      <c r="C59" s="111">
        <f>(F23*160)+(F24*160)+(F25*920)+(F26*530)+(F27*1390)+(F28*160)</f>
        <v>0</v>
      </c>
      <c r="D59" s="25"/>
      <c r="E59" s="25"/>
      <c r="F59" s="96" t="s">
        <v>19</v>
      </c>
      <c r="G59" s="97">
        <f>IF(OR(C56&gt;=160, C57&gt;=960, C58&gt;=160), Q72, 0)</f>
        <v>0</v>
      </c>
      <c r="H59" s="28"/>
      <c r="I59" s="18"/>
      <c r="L59"/>
    </row>
    <row r="60" spans="1:12" s="3" customFormat="1" ht="21.75" customHeight="1" thickBot="1" x14ac:dyDescent="0.3">
      <c r="A60" s="17"/>
      <c r="B60" s="110" t="s">
        <v>69</v>
      </c>
      <c r="C60" s="111">
        <f>F45+F46</f>
        <v>0</v>
      </c>
      <c r="D60" s="25"/>
      <c r="E60" s="25"/>
      <c r="F60" s="116" t="s">
        <v>57</v>
      </c>
      <c r="G60" s="117">
        <f>IF(G57&lt;10000,0,IF(OR(C56&gt;=160,C57&gt;=960,C58&gt;=160),IF(C59&lt;=C60,(C59*1),IF(C59&gt;C60,(C60*1),0))))</f>
        <v>0</v>
      </c>
      <c r="H60" s="28"/>
      <c r="I60" s="18"/>
      <c r="K60" s="3" t="e">
        <f>#VALUE!</f>
        <v>#VALUE!</v>
      </c>
    </row>
    <row r="61" spans="1:12" s="3" customFormat="1" ht="3" customHeight="1" thickBot="1" x14ac:dyDescent="0.3">
      <c r="A61" s="17"/>
      <c r="B61" s="90"/>
      <c r="C61" s="91"/>
      <c r="D61" s="25"/>
      <c r="E61" s="25"/>
      <c r="F61" s="98"/>
      <c r="G61" s="99"/>
      <c r="H61" s="28"/>
      <c r="I61" s="18"/>
    </row>
    <row r="62" spans="1:12" s="3" customFormat="1" ht="20.25" customHeight="1" thickBot="1" x14ac:dyDescent="0.3">
      <c r="A62" s="17"/>
      <c r="B62" s="60" t="s">
        <v>73</v>
      </c>
      <c r="C62" s="59">
        <f>SUM(H4,H5,H6,H7,H9,H10,H11,H12,H13,H14,H15)</f>
        <v>0</v>
      </c>
      <c r="D62" s="25"/>
      <c r="E62" s="25"/>
      <c r="F62" s="118" t="s">
        <v>58</v>
      </c>
      <c r="G62" s="119">
        <f>IF(G57&lt;10000,0,IF(OR(C56&gt;=160, C57&gt;=960), SUM((MIN(PRODUCT(C35*F35), C62))*2, (MIN(PRODUCT(C38*F38), C62))*2), 0))</f>
        <v>0</v>
      </c>
      <c r="H62" s="28"/>
      <c r="I62" s="18"/>
    </row>
    <row r="63" spans="1:12" s="3" customFormat="1" ht="21.75" customHeight="1" thickBot="1" x14ac:dyDescent="0.3">
      <c r="A63" s="17"/>
      <c r="B63" s="60" t="s">
        <v>74</v>
      </c>
      <c r="C63" s="59">
        <f>(F35*C35)+(F38*C38)</f>
        <v>0</v>
      </c>
      <c r="D63" s="25"/>
      <c r="E63" s="25"/>
      <c r="F63" s="100" t="s">
        <v>43</v>
      </c>
      <c r="G63" s="101">
        <f>G59+G60+G62</f>
        <v>0</v>
      </c>
      <c r="H63" s="28"/>
      <c r="I63" s="18"/>
    </row>
    <row r="64" spans="1:12" s="3" customFormat="1" ht="3" customHeight="1" x14ac:dyDescent="0.25">
      <c r="A64" s="17"/>
      <c r="B64" s="92"/>
      <c r="C64" s="93"/>
      <c r="D64" s="25"/>
      <c r="E64" s="25"/>
      <c r="H64" s="28"/>
      <c r="I64" s="18"/>
    </row>
    <row r="65" spans="1:17" s="3" customFormat="1" ht="18.75" customHeight="1" x14ac:dyDescent="0.25">
      <c r="A65" s="17"/>
      <c r="B65" s="47" t="s">
        <v>7</v>
      </c>
      <c r="C65" s="48" t="s">
        <v>10</v>
      </c>
      <c r="D65" s="31"/>
      <c r="E65" s="25"/>
      <c r="H65" s="28"/>
      <c r="I65" s="18"/>
      <c r="Q65" s="120">
        <f>IF(G57&gt;=10000, (G57-G32-G29-G46)*0.03, 0)</f>
        <v>0</v>
      </c>
    </row>
    <row r="66" spans="1:17" s="3" customFormat="1" ht="18.75" customHeight="1" x14ac:dyDescent="0.25">
      <c r="A66" s="17"/>
      <c r="B66" s="49">
        <v>0.03</v>
      </c>
      <c r="C66" s="50" t="s">
        <v>14</v>
      </c>
      <c r="D66" s="31"/>
      <c r="E66" s="31"/>
      <c r="F66" s="31"/>
      <c r="G66" s="31"/>
      <c r="H66" s="28"/>
      <c r="I66" s="18"/>
      <c r="Q66" s="120">
        <f>IF(G57&gt;=25000, (G57-G32-G29-G46)*0.04, Q65)</f>
        <v>0</v>
      </c>
    </row>
    <row r="67" spans="1:17" s="3" customFormat="1" ht="18.75" customHeight="1" x14ac:dyDescent="0.25">
      <c r="A67" s="17"/>
      <c r="B67" s="49">
        <v>0.04</v>
      </c>
      <c r="C67" s="50" t="s">
        <v>15</v>
      </c>
      <c r="D67" s="31"/>
      <c r="E67" s="42"/>
      <c r="F67" s="43"/>
      <c r="G67" s="42"/>
      <c r="H67" s="43"/>
      <c r="I67" s="18"/>
      <c r="Q67" s="121">
        <f>IF(G57&gt;=45000, (G57-G32-G29-G46)*0.05, Q66)</f>
        <v>0</v>
      </c>
    </row>
    <row r="68" spans="1:17" s="3" customFormat="1" ht="18.75" customHeight="1" x14ac:dyDescent="0.25">
      <c r="A68" s="17"/>
      <c r="B68" s="51">
        <v>0.05</v>
      </c>
      <c r="C68" s="52" t="s">
        <v>16</v>
      </c>
      <c r="D68" s="32"/>
      <c r="E68" s="43"/>
      <c r="F68" s="43"/>
      <c r="G68" s="43"/>
      <c r="H68" s="42"/>
      <c r="I68" s="18"/>
      <c r="Q68" s="121">
        <f>IF(G57&gt;=60000, (G57-G32-G29-G46)*0.06, Q67)</f>
        <v>0</v>
      </c>
    </row>
    <row r="69" spans="1:17" s="3" customFormat="1" ht="18.75" customHeight="1" x14ac:dyDescent="0.25">
      <c r="A69" s="17"/>
      <c r="B69" s="51">
        <v>0.06</v>
      </c>
      <c r="C69" s="52" t="s">
        <v>17</v>
      </c>
      <c r="D69" s="82"/>
      <c r="E69" s="82"/>
      <c r="F69" s="82"/>
      <c r="G69" s="82"/>
      <c r="H69" s="31"/>
      <c r="I69" s="18"/>
      <c r="Q69" s="121">
        <f>IF(G57&gt;=80000, (G57-G32-G29-G46)*0.07, Q68)</f>
        <v>0</v>
      </c>
    </row>
    <row r="70" spans="1:17" s="3" customFormat="1" ht="18.75" customHeight="1" x14ac:dyDescent="0.25">
      <c r="A70" s="17"/>
      <c r="B70" s="51">
        <v>7.0000000000000007E-2</v>
      </c>
      <c r="C70" s="52" t="s">
        <v>18</v>
      </c>
      <c r="D70" s="82"/>
      <c r="H70" s="43"/>
      <c r="I70" s="23"/>
      <c r="Q70" s="121">
        <f>IF(G57&gt;=100000, (G57-G32-G29-G46)*0.08, Q69)</f>
        <v>0</v>
      </c>
    </row>
    <row r="71" spans="1:17" s="3" customFormat="1" ht="18.75" customHeight="1" x14ac:dyDescent="0.25">
      <c r="A71" s="17"/>
      <c r="B71" s="49">
        <v>0.08</v>
      </c>
      <c r="C71" s="50" t="s">
        <v>45</v>
      </c>
      <c r="D71" s="31"/>
      <c r="E71" s="31"/>
      <c r="F71" s="31"/>
      <c r="G71" s="31"/>
      <c r="H71" s="43"/>
      <c r="I71" s="23"/>
      <c r="Q71" s="121">
        <f>IF(G57&gt;=150000, (G57-G32-G29-G46)*0.09, Q70)</f>
        <v>0</v>
      </c>
    </row>
    <row r="72" spans="1:17" s="3" customFormat="1" ht="18.75" customHeight="1" thickBot="1" x14ac:dyDescent="0.3">
      <c r="A72" s="17"/>
      <c r="B72" s="53">
        <v>0.09</v>
      </c>
      <c r="C72" s="54" t="s">
        <v>46</v>
      </c>
      <c r="D72" s="44"/>
      <c r="E72" s="31"/>
      <c r="F72" s="31"/>
      <c r="G72" s="31"/>
      <c r="H72" s="45"/>
      <c r="I72" s="23"/>
      <c r="Q72" s="121">
        <f>IF(G57&gt;=250000, (G57-G32-G29-G46)*0.1, Q71)</f>
        <v>0</v>
      </c>
    </row>
    <row r="73" spans="1:17" s="3" customFormat="1" ht="6" customHeight="1" thickBot="1" x14ac:dyDescent="0.3">
      <c r="A73" s="61"/>
      <c r="B73" s="62"/>
      <c r="C73" s="63"/>
      <c r="D73" s="63"/>
      <c r="E73" s="64"/>
      <c r="F73" s="64"/>
      <c r="G73" s="64"/>
      <c r="H73" s="64"/>
      <c r="I73" s="65"/>
    </row>
    <row r="74" spans="1:17" s="33" customFormat="1" ht="11.25" customHeight="1" thickBot="1" x14ac:dyDescent="0.2">
      <c r="B74" s="35"/>
      <c r="C74" s="36"/>
      <c r="D74" s="36"/>
      <c r="E74" s="36"/>
      <c r="F74" s="37"/>
      <c r="G74" s="36"/>
      <c r="H74" s="35"/>
      <c r="I74" s="35"/>
    </row>
    <row r="75" spans="1:17" s="3" customFormat="1" x14ac:dyDescent="0.25">
      <c r="C75" s="4"/>
      <c r="E75" s="4"/>
      <c r="F75" s="7"/>
      <c r="G75" s="4"/>
    </row>
    <row r="76" spans="1:17" s="3" customFormat="1" x14ac:dyDescent="0.25">
      <c r="C76" s="4"/>
      <c r="D76" s="4"/>
      <c r="E76" s="4"/>
      <c r="F76" s="7"/>
      <c r="G76" s="84"/>
    </row>
    <row r="77" spans="1:17" s="3" customFormat="1" x14ac:dyDescent="0.25">
      <c r="C77" s="4"/>
      <c r="D77" s="4"/>
      <c r="E77" s="4"/>
      <c r="F77" s="7"/>
      <c r="G77" s="4"/>
    </row>
    <row r="78" spans="1:17" s="3" customFormat="1" x14ac:dyDescent="0.25">
      <c r="C78" s="4"/>
      <c r="D78" s="4"/>
      <c r="E78" s="4"/>
      <c r="F78" s="7"/>
      <c r="G78" s="4"/>
    </row>
    <row r="79" spans="1:17" s="3" customFormat="1" x14ac:dyDescent="0.25">
      <c r="C79" s="4"/>
      <c r="D79" s="4"/>
      <c r="E79" s="4"/>
      <c r="F79" s="7"/>
      <c r="G79" s="4"/>
    </row>
    <row r="80" spans="1:17" s="3" customFormat="1" x14ac:dyDescent="0.25">
      <c r="C80" s="4"/>
      <c r="D80" s="4"/>
      <c r="E80" s="4"/>
      <c r="F80" s="7"/>
      <c r="G80" s="4"/>
    </row>
    <row r="81" spans="3:7" s="3" customFormat="1" x14ac:dyDescent="0.25">
      <c r="C81" s="4"/>
      <c r="D81" s="4"/>
      <c r="E81" s="4"/>
      <c r="F81" s="7"/>
      <c r="G81" s="4"/>
    </row>
    <row r="82" spans="3:7" s="3" customFormat="1" x14ac:dyDescent="0.25">
      <c r="C82" s="4"/>
      <c r="D82" s="4"/>
      <c r="E82" s="4"/>
      <c r="F82" s="7"/>
      <c r="G82" s="4"/>
    </row>
    <row r="83" spans="3:7" s="3" customFormat="1" x14ac:dyDescent="0.25">
      <c r="C83" s="4"/>
      <c r="D83" s="4"/>
      <c r="E83" s="4"/>
      <c r="F83" s="7"/>
      <c r="G83" s="4"/>
    </row>
    <row r="84" spans="3:7" s="3" customFormat="1" x14ac:dyDescent="0.25">
      <c r="C84" s="4"/>
      <c r="D84" s="4"/>
      <c r="E84" s="4"/>
      <c r="F84" s="7"/>
      <c r="G84" s="4"/>
    </row>
    <row r="85" spans="3:7" s="3" customFormat="1" x14ac:dyDescent="0.25">
      <c r="C85" s="4"/>
      <c r="D85" s="4"/>
      <c r="E85" s="4"/>
      <c r="F85" s="7"/>
      <c r="G85" s="4"/>
    </row>
    <row r="86" spans="3:7" s="3" customFormat="1" x14ac:dyDescent="0.25">
      <c r="C86" s="4"/>
      <c r="D86" s="4"/>
      <c r="E86" s="4"/>
      <c r="F86" s="7"/>
      <c r="G86" s="4"/>
    </row>
    <row r="87" spans="3:7" s="3" customFormat="1" x14ac:dyDescent="0.25">
      <c r="C87" s="4"/>
      <c r="D87" s="4"/>
      <c r="E87" s="4"/>
      <c r="F87" s="7"/>
      <c r="G87" s="4"/>
    </row>
    <row r="88" spans="3:7" s="3" customFormat="1" x14ac:dyDescent="0.25">
      <c r="C88" s="4"/>
      <c r="D88" s="4"/>
      <c r="E88" s="4"/>
      <c r="F88" s="7"/>
      <c r="G88" s="4"/>
    </row>
    <row r="89" spans="3:7" s="3" customFormat="1" x14ac:dyDescent="0.25">
      <c r="C89" s="4"/>
      <c r="D89" s="4"/>
      <c r="E89" s="4"/>
      <c r="F89" s="7"/>
      <c r="G89" s="4"/>
    </row>
    <row r="90" spans="3:7" s="3" customFormat="1" x14ac:dyDescent="0.25">
      <c r="C90" s="4"/>
      <c r="D90" s="4"/>
      <c r="E90" s="4"/>
      <c r="F90" s="7"/>
      <c r="G90" s="4"/>
    </row>
    <row r="91" spans="3:7" s="3" customFormat="1" x14ac:dyDescent="0.25">
      <c r="C91" s="4"/>
      <c r="D91" s="4"/>
      <c r="E91" s="4"/>
      <c r="F91" s="7"/>
      <c r="G91" s="4"/>
    </row>
    <row r="92" spans="3:7" s="3" customFormat="1" x14ac:dyDescent="0.25">
      <c r="C92" s="4"/>
      <c r="D92" s="4"/>
      <c r="E92" s="4"/>
      <c r="F92" s="7"/>
      <c r="G92" s="4"/>
    </row>
    <row r="93" spans="3:7" s="3" customFormat="1" x14ac:dyDescent="0.25">
      <c r="C93" s="4"/>
      <c r="D93" s="4"/>
      <c r="E93" s="4"/>
      <c r="F93" s="7"/>
      <c r="G93" s="4"/>
    </row>
    <row r="94" spans="3:7" s="3" customFormat="1" x14ac:dyDescent="0.25">
      <c r="C94" s="4"/>
      <c r="D94" s="4"/>
      <c r="E94" s="4"/>
      <c r="F94" s="7"/>
      <c r="G94" s="4"/>
    </row>
    <row r="95" spans="3:7" s="3" customFormat="1" x14ac:dyDescent="0.25">
      <c r="C95" s="4"/>
      <c r="D95" s="4"/>
      <c r="E95" s="4"/>
      <c r="F95" s="7"/>
      <c r="G95" s="4"/>
    </row>
    <row r="96" spans="3:7" s="3" customFormat="1" x14ac:dyDescent="0.25">
      <c r="C96" s="4"/>
      <c r="D96" s="4"/>
      <c r="E96" s="4"/>
      <c r="F96" s="7"/>
      <c r="G96" s="4"/>
    </row>
    <row r="97" spans="3:7" s="3" customFormat="1" x14ac:dyDescent="0.25">
      <c r="C97" s="4"/>
      <c r="D97" s="4"/>
      <c r="E97" s="4"/>
      <c r="F97" s="7"/>
      <c r="G97" s="4"/>
    </row>
    <row r="98" spans="3:7" s="3" customFormat="1" x14ac:dyDescent="0.25">
      <c r="C98" s="4"/>
      <c r="D98" s="4"/>
      <c r="E98" s="4"/>
      <c r="F98" s="7"/>
      <c r="G98" s="4"/>
    </row>
    <row r="99" spans="3:7" s="3" customFormat="1" x14ac:dyDescent="0.25">
      <c r="C99" s="4"/>
      <c r="D99" s="4"/>
      <c r="E99" s="4"/>
      <c r="F99" s="7"/>
      <c r="G99" s="4"/>
    </row>
    <row r="100" spans="3:7" s="3" customFormat="1" x14ac:dyDescent="0.25">
      <c r="C100" s="4"/>
      <c r="D100" s="4"/>
      <c r="E100" s="4"/>
      <c r="F100" s="7"/>
      <c r="G100" s="4"/>
    </row>
    <row r="101" spans="3:7" s="3" customFormat="1" x14ac:dyDescent="0.25">
      <c r="C101" s="4"/>
      <c r="D101" s="4"/>
      <c r="E101" s="4"/>
      <c r="F101" s="7"/>
      <c r="G101" s="4"/>
    </row>
    <row r="102" spans="3:7" s="3" customFormat="1" x14ac:dyDescent="0.25">
      <c r="C102" s="4"/>
      <c r="D102" s="4"/>
      <c r="E102" s="4"/>
      <c r="F102" s="7"/>
      <c r="G102" s="4"/>
    </row>
    <row r="103" spans="3:7" s="3" customFormat="1" x14ac:dyDescent="0.25">
      <c r="C103" s="4"/>
      <c r="D103" s="4"/>
      <c r="E103" s="4"/>
      <c r="F103" s="7"/>
      <c r="G103" s="4"/>
    </row>
    <row r="104" spans="3:7" s="3" customFormat="1" x14ac:dyDescent="0.25">
      <c r="C104" s="4"/>
      <c r="D104" s="4"/>
      <c r="E104" s="4"/>
      <c r="F104" s="7"/>
      <c r="G104" s="4"/>
    </row>
    <row r="105" spans="3:7" s="3" customFormat="1" x14ac:dyDescent="0.25">
      <c r="C105" s="4"/>
      <c r="D105" s="4"/>
      <c r="E105" s="4"/>
      <c r="F105" s="7"/>
      <c r="G105" s="4"/>
    </row>
    <row r="106" spans="3:7" s="3" customFormat="1" x14ac:dyDescent="0.25">
      <c r="C106" s="4"/>
      <c r="D106" s="4"/>
      <c r="E106" s="4"/>
      <c r="F106" s="7"/>
      <c r="G106" s="4"/>
    </row>
    <row r="107" spans="3:7" s="3" customFormat="1" x14ac:dyDescent="0.25">
      <c r="C107" s="4"/>
      <c r="D107" s="4"/>
      <c r="E107" s="4"/>
      <c r="F107" s="7"/>
      <c r="G107" s="4"/>
    </row>
    <row r="108" spans="3:7" s="3" customFormat="1" x14ac:dyDescent="0.25">
      <c r="C108" s="4"/>
      <c r="D108" s="4"/>
      <c r="E108" s="4"/>
      <c r="F108" s="7"/>
      <c r="G108" s="4"/>
    </row>
    <row r="109" spans="3:7" s="3" customFormat="1" x14ac:dyDescent="0.25">
      <c r="C109" s="4"/>
      <c r="D109" s="4"/>
      <c r="E109" s="4"/>
      <c r="F109" s="7"/>
      <c r="G109" s="4"/>
    </row>
    <row r="110" spans="3:7" s="3" customFormat="1" x14ac:dyDescent="0.25">
      <c r="C110" s="4"/>
      <c r="D110" s="4"/>
      <c r="E110" s="4"/>
      <c r="F110" s="7"/>
      <c r="G110" s="4"/>
    </row>
    <row r="111" spans="3:7" s="3" customFormat="1" x14ac:dyDescent="0.25">
      <c r="C111" s="4"/>
      <c r="D111" s="4"/>
      <c r="E111" s="4"/>
      <c r="F111" s="7"/>
      <c r="G111" s="4"/>
    </row>
    <row r="112" spans="3:7" s="3" customFormat="1" x14ac:dyDescent="0.25">
      <c r="C112" s="4"/>
      <c r="D112" s="4"/>
      <c r="E112" s="4"/>
      <c r="F112" s="7"/>
      <c r="G112" s="4"/>
    </row>
    <row r="113" spans="3:7" s="3" customFormat="1" x14ac:dyDescent="0.25">
      <c r="C113" s="4"/>
      <c r="D113" s="4"/>
      <c r="E113" s="4"/>
      <c r="F113" s="7"/>
      <c r="G113" s="4"/>
    </row>
    <row r="114" spans="3:7" s="3" customFormat="1" x14ac:dyDescent="0.25">
      <c r="C114" s="4"/>
      <c r="D114" s="4"/>
      <c r="E114" s="4"/>
      <c r="F114" s="7"/>
      <c r="G114" s="4"/>
    </row>
    <row r="115" spans="3:7" s="3" customFormat="1" x14ac:dyDescent="0.25">
      <c r="C115" s="4"/>
      <c r="D115" s="4"/>
      <c r="E115" s="4"/>
      <c r="F115" s="7"/>
      <c r="G115" s="4"/>
    </row>
    <row r="116" spans="3:7" s="3" customFormat="1" x14ac:dyDescent="0.25">
      <c r="C116" s="4"/>
      <c r="D116" s="4"/>
      <c r="E116" s="4"/>
      <c r="F116" s="7"/>
      <c r="G116" s="4"/>
    </row>
    <row r="117" spans="3:7" s="3" customFormat="1" x14ac:dyDescent="0.25">
      <c r="C117" s="4"/>
      <c r="D117" s="4"/>
      <c r="E117" s="4"/>
      <c r="F117" s="7"/>
      <c r="G117" s="4"/>
    </row>
    <row r="118" spans="3:7" s="3" customFormat="1" x14ac:dyDescent="0.25">
      <c r="C118" s="4"/>
      <c r="D118" s="4"/>
      <c r="E118" s="4"/>
      <c r="F118" s="7"/>
      <c r="G118" s="4"/>
    </row>
    <row r="119" spans="3:7" s="3" customFormat="1" x14ac:dyDescent="0.25">
      <c r="C119" s="4"/>
      <c r="D119" s="4"/>
      <c r="E119" s="4"/>
      <c r="F119" s="7"/>
      <c r="G119" s="4"/>
    </row>
    <row r="120" spans="3:7" s="3" customFormat="1" x14ac:dyDescent="0.25">
      <c r="C120" s="4"/>
      <c r="D120" s="4"/>
      <c r="E120" s="4"/>
      <c r="F120" s="7"/>
      <c r="G120" s="4"/>
    </row>
    <row r="121" spans="3:7" s="3" customFormat="1" x14ac:dyDescent="0.25">
      <c r="C121" s="4"/>
      <c r="D121" s="4"/>
      <c r="E121" s="4"/>
      <c r="F121" s="7"/>
      <c r="G121" s="4"/>
    </row>
    <row r="122" spans="3:7" s="3" customFormat="1" x14ac:dyDescent="0.25">
      <c r="C122" s="4"/>
      <c r="D122" s="4"/>
      <c r="E122" s="4"/>
      <c r="F122" s="7"/>
      <c r="G122" s="4"/>
    </row>
    <row r="123" spans="3:7" s="3" customFormat="1" x14ac:dyDescent="0.25">
      <c r="C123" s="4"/>
      <c r="D123" s="4"/>
      <c r="E123" s="4"/>
      <c r="F123" s="7"/>
      <c r="G123" s="4"/>
    </row>
    <row r="124" spans="3:7" s="3" customFormat="1" x14ac:dyDescent="0.25">
      <c r="C124" s="4"/>
      <c r="D124" s="4"/>
      <c r="E124" s="4"/>
      <c r="F124" s="7"/>
      <c r="G124" s="4"/>
    </row>
    <row r="125" spans="3:7" s="3" customFormat="1" x14ac:dyDescent="0.25">
      <c r="C125" s="4"/>
      <c r="D125" s="4"/>
      <c r="E125" s="4"/>
      <c r="F125" s="7"/>
      <c r="G125" s="4"/>
    </row>
    <row r="126" spans="3:7" s="3" customFormat="1" x14ac:dyDescent="0.25">
      <c r="C126" s="4"/>
      <c r="D126" s="4"/>
      <c r="E126" s="4"/>
      <c r="F126" s="7"/>
      <c r="G126" s="4"/>
    </row>
    <row r="127" spans="3:7" s="3" customFormat="1" x14ac:dyDescent="0.25">
      <c r="C127" s="4"/>
      <c r="D127" s="4"/>
      <c r="E127" s="4"/>
      <c r="F127" s="7"/>
      <c r="G127" s="4"/>
    </row>
    <row r="128" spans="3:7" s="3" customFormat="1" x14ac:dyDescent="0.25">
      <c r="C128" s="4"/>
      <c r="D128" s="4"/>
      <c r="E128" s="4"/>
      <c r="F128" s="7"/>
      <c r="G128" s="4"/>
    </row>
    <row r="129" spans="3:7" s="3" customFormat="1" x14ac:dyDescent="0.25">
      <c r="C129" s="4"/>
      <c r="D129" s="4"/>
      <c r="E129" s="4"/>
      <c r="F129" s="7"/>
      <c r="G129" s="4"/>
    </row>
    <row r="130" spans="3:7" s="3" customFormat="1" x14ac:dyDescent="0.25">
      <c r="C130" s="4"/>
      <c r="D130" s="4"/>
      <c r="E130" s="4"/>
      <c r="F130" s="7"/>
      <c r="G130" s="4"/>
    </row>
    <row r="131" spans="3:7" s="3" customFormat="1" x14ac:dyDescent="0.25">
      <c r="C131" s="4"/>
      <c r="D131" s="4"/>
      <c r="E131" s="4"/>
      <c r="F131" s="7"/>
      <c r="G131" s="4"/>
    </row>
    <row r="132" spans="3:7" s="3" customFormat="1" x14ac:dyDescent="0.25">
      <c r="C132" s="4"/>
      <c r="D132" s="4"/>
      <c r="E132" s="4"/>
      <c r="F132" s="7"/>
      <c r="G132" s="4"/>
    </row>
    <row r="133" spans="3:7" s="3" customFormat="1" x14ac:dyDescent="0.25">
      <c r="C133" s="4"/>
      <c r="D133" s="4"/>
      <c r="E133" s="4"/>
      <c r="F133" s="7"/>
      <c r="G133" s="4"/>
    </row>
    <row r="134" spans="3:7" s="3" customFormat="1" x14ac:dyDescent="0.25">
      <c r="C134" s="4"/>
      <c r="D134" s="4"/>
      <c r="E134" s="4"/>
      <c r="F134" s="7"/>
      <c r="G134" s="4"/>
    </row>
    <row r="135" spans="3:7" s="3" customFormat="1" x14ac:dyDescent="0.25">
      <c r="C135" s="4"/>
      <c r="D135" s="4"/>
      <c r="E135" s="4"/>
      <c r="F135" s="7"/>
      <c r="G135" s="4"/>
    </row>
    <row r="136" spans="3:7" s="3" customFormat="1" x14ac:dyDescent="0.25">
      <c r="C136" s="4"/>
      <c r="D136" s="4"/>
      <c r="E136" s="4"/>
      <c r="F136" s="7"/>
      <c r="G136" s="4"/>
    </row>
    <row r="137" spans="3:7" s="3" customFormat="1" x14ac:dyDescent="0.25">
      <c r="C137" s="4"/>
      <c r="D137" s="4"/>
      <c r="E137" s="4"/>
      <c r="F137" s="7"/>
      <c r="G137" s="4"/>
    </row>
    <row r="138" spans="3:7" s="3" customFormat="1" x14ac:dyDescent="0.25">
      <c r="C138" s="4"/>
      <c r="D138" s="4"/>
      <c r="E138" s="4"/>
      <c r="F138" s="7"/>
      <c r="G138" s="4"/>
    </row>
    <row r="139" spans="3:7" s="3" customFormat="1" x14ac:dyDescent="0.25">
      <c r="C139" s="4"/>
      <c r="D139" s="4"/>
      <c r="E139" s="4"/>
      <c r="F139" s="7"/>
      <c r="G139" s="4"/>
    </row>
    <row r="140" spans="3:7" s="3" customFormat="1" x14ac:dyDescent="0.25">
      <c r="C140" s="4"/>
      <c r="D140" s="4"/>
      <c r="E140" s="4"/>
      <c r="F140" s="7"/>
      <c r="G140" s="4"/>
    </row>
    <row r="141" spans="3:7" s="3" customFormat="1" x14ac:dyDescent="0.25">
      <c r="C141" s="4"/>
      <c r="D141" s="4"/>
      <c r="E141" s="4"/>
      <c r="F141" s="7"/>
      <c r="G141" s="4"/>
    </row>
    <row r="142" spans="3:7" s="3" customFormat="1" x14ac:dyDescent="0.25">
      <c r="C142" s="4"/>
      <c r="D142" s="4"/>
      <c r="E142" s="4"/>
      <c r="F142" s="7"/>
      <c r="G142" s="4"/>
    </row>
    <row r="143" spans="3:7" s="3" customFormat="1" x14ac:dyDescent="0.25">
      <c r="C143" s="4"/>
      <c r="D143" s="4"/>
      <c r="E143" s="4"/>
      <c r="F143" s="7"/>
      <c r="G143" s="4"/>
    </row>
    <row r="144" spans="3:7" s="3" customFormat="1" x14ac:dyDescent="0.25">
      <c r="C144" s="4"/>
      <c r="D144" s="4"/>
      <c r="E144" s="4"/>
      <c r="F144" s="7"/>
      <c r="G144" s="4"/>
    </row>
    <row r="145" spans="3:7" s="3" customFormat="1" x14ac:dyDescent="0.25">
      <c r="C145" s="4"/>
      <c r="D145" s="4"/>
      <c r="E145" s="4"/>
      <c r="F145" s="7"/>
      <c r="G145" s="4"/>
    </row>
    <row r="146" spans="3:7" s="3" customFormat="1" x14ac:dyDescent="0.25">
      <c r="C146" s="4"/>
      <c r="D146" s="4"/>
      <c r="E146" s="4"/>
      <c r="F146" s="7"/>
      <c r="G146" s="4"/>
    </row>
    <row r="147" spans="3:7" s="3" customFormat="1" x14ac:dyDescent="0.25">
      <c r="C147" s="4"/>
      <c r="D147" s="4"/>
      <c r="E147" s="4"/>
      <c r="F147" s="7"/>
      <c r="G147" s="4"/>
    </row>
    <row r="148" spans="3:7" s="3" customFormat="1" x14ac:dyDescent="0.25">
      <c r="C148" s="4"/>
      <c r="D148" s="4"/>
      <c r="E148" s="4"/>
      <c r="F148" s="7"/>
      <c r="G148" s="4"/>
    </row>
    <row r="149" spans="3:7" s="3" customFormat="1" x14ac:dyDescent="0.25">
      <c r="C149" s="4"/>
      <c r="D149" s="4"/>
      <c r="E149" s="4"/>
      <c r="F149" s="7"/>
      <c r="G149" s="4"/>
    </row>
    <row r="150" spans="3:7" s="3" customFormat="1" x14ac:dyDescent="0.25">
      <c r="C150" s="4"/>
      <c r="D150" s="4"/>
      <c r="E150" s="4"/>
      <c r="F150" s="7"/>
      <c r="G150" s="4"/>
    </row>
    <row r="151" spans="3:7" s="3" customFormat="1" x14ac:dyDescent="0.25">
      <c r="C151" s="4"/>
      <c r="D151" s="4"/>
      <c r="E151" s="4"/>
      <c r="F151" s="7"/>
      <c r="G151" s="4"/>
    </row>
    <row r="152" spans="3:7" s="3" customFormat="1" x14ac:dyDescent="0.25">
      <c r="C152" s="4"/>
      <c r="D152" s="4"/>
      <c r="E152" s="4"/>
      <c r="F152" s="7"/>
      <c r="G152" s="4"/>
    </row>
    <row r="153" spans="3:7" s="3" customFormat="1" x14ac:dyDescent="0.25">
      <c r="C153" s="4"/>
      <c r="D153" s="4"/>
      <c r="E153" s="4"/>
      <c r="F153" s="7"/>
      <c r="G153" s="4"/>
    </row>
    <row r="154" spans="3:7" s="3" customFormat="1" x14ac:dyDescent="0.25">
      <c r="C154" s="4"/>
      <c r="D154" s="4"/>
      <c r="E154" s="4"/>
      <c r="F154" s="7"/>
      <c r="G154" s="4"/>
    </row>
    <row r="155" spans="3:7" s="3" customFormat="1" x14ac:dyDescent="0.25">
      <c r="C155" s="4"/>
      <c r="D155" s="4"/>
      <c r="E155" s="4"/>
      <c r="F155" s="7"/>
      <c r="G155" s="4"/>
    </row>
    <row r="156" spans="3:7" s="3" customFormat="1" x14ac:dyDescent="0.25">
      <c r="C156" s="4"/>
      <c r="D156" s="4"/>
      <c r="E156" s="4"/>
      <c r="F156" s="7"/>
      <c r="G156" s="4"/>
    </row>
    <row r="157" spans="3:7" s="3" customFormat="1" x14ac:dyDescent="0.25">
      <c r="C157" s="4"/>
      <c r="D157" s="4"/>
      <c r="E157" s="4"/>
      <c r="F157" s="7"/>
      <c r="G157" s="4"/>
    </row>
    <row r="158" spans="3:7" s="3" customFormat="1" x14ac:dyDescent="0.25">
      <c r="C158" s="4"/>
      <c r="D158" s="4"/>
      <c r="E158" s="4"/>
      <c r="F158" s="7"/>
      <c r="G158" s="4"/>
    </row>
    <row r="159" spans="3:7" s="3" customFormat="1" x14ac:dyDescent="0.25">
      <c r="C159" s="4"/>
      <c r="D159" s="4"/>
      <c r="E159" s="4"/>
      <c r="F159" s="7"/>
      <c r="G159" s="4"/>
    </row>
    <row r="160" spans="3:7" s="3" customFormat="1" x14ac:dyDescent="0.25">
      <c r="C160" s="4"/>
      <c r="D160" s="4"/>
      <c r="E160" s="4"/>
      <c r="F160" s="7"/>
      <c r="G160" s="4"/>
    </row>
    <row r="161" spans="3:7" s="3" customFormat="1" x14ac:dyDescent="0.25">
      <c r="C161" s="4"/>
      <c r="D161" s="4"/>
      <c r="E161" s="4"/>
      <c r="F161" s="7"/>
      <c r="G161" s="4"/>
    </row>
    <row r="162" spans="3:7" s="3" customFormat="1" x14ac:dyDescent="0.25">
      <c r="C162" s="4"/>
      <c r="D162" s="4"/>
      <c r="E162" s="4"/>
      <c r="F162" s="7"/>
      <c r="G162" s="4"/>
    </row>
    <row r="163" spans="3:7" s="3" customFormat="1" x14ac:dyDescent="0.25">
      <c r="C163" s="4"/>
      <c r="D163" s="4"/>
      <c r="E163" s="4"/>
      <c r="F163" s="7"/>
      <c r="G163" s="4"/>
    </row>
    <row r="164" spans="3:7" s="3" customFormat="1" x14ac:dyDescent="0.25">
      <c r="C164" s="4"/>
      <c r="D164" s="4"/>
      <c r="E164" s="4"/>
      <c r="F164" s="7"/>
      <c r="G164" s="4"/>
    </row>
    <row r="165" spans="3:7" s="3" customFormat="1" x14ac:dyDescent="0.25">
      <c r="C165" s="4"/>
      <c r="D165" s="4"/>
      <c r="E165" s="4"/>
      <c r="F165" s="7"/>
      <c r="G165" s="4"/>
    </row>
    <row r="166" spans="3:7" s="3" customFormat="1" x14ac:dyDescent="0.25">
      <c r="C166" s="4"/>
      <c r="D166" s="4"/>
      <c r="E166" s="4"/>
      <c r="F166" s="7"/>
      <c r="G166" s="4"/>
    </row>
    <row r="167" spans="3:7" s="3" customFormat="1" x14ac:dyDescent="0.25">
      <c r="C167" s="4"/>
      <c r="D167" s="4"/>
      <c r="E167" s="4"/>
      <c r="F167" s="7"/>
      <c r="G167" s="4"/>
    </row>
    <row r="168" spans="3:7" s="3" customFormat="1" x14ac:dyDescent="0.25">
      <c r="C168" s="4"/>
      <c r="D168" s="4"/>
      <c r="E168" s="4"/>
      <c r="F168" s="7"/>
      <c r="G168" s="4"/>
    </row>
    <row r="169" spans="3:7" s="3" customFormat="1" x14ac:dyDescent="0.25">
      <c r="C169" s="4"/>
      <c r="D169" s="4"/>
      <c r="E169" s="4"/>
      <c r="F169" s="7"/>
      <c r="G169" s="4"/>
    </row>
    <row r="170" spans="3:7" s="3" customFormat="1" x14ac:dyDescent="0.25">
      <c r="C170" s="4"/>
      <c r="D170" s="4"/>
      <c r="E170" s="4"/>
      <c r="F170" s="7"/>
      <c r="G170" s="4"/>
    </row>
    <row r="171" spans="3:7" s="3" customFormat="1" x14ac:dyDescent="0.25">
      <c r="C171" s="4"/>
      <c r="D171" s="4"/>
      <c r="E171" s="4"/>
      <c r="F171" s="7"/>
      <c r="G171" s="4"/>
    </row>
    <row r="172" spans="3:7" s="3" customFormat="1" x14ac:dyDescent="0.25">
      <c r="C172" s="4"/>
      <c r="D172" s="4"/>
      <c r="E172" s="4"/>
      <c r="F172" s="7"/>
      <c r="G172" s="4"/>
    </row>
    <row r="173" spans="3:7" s="3" customFormat="1" x14ac:dyDescent="0.25">
      <c r="C173" s="4"/>
      <c r="D173" s="4"/>
      <c r="E173" s="4"/>
      <c r="F173" s="7"/>
      <c r="G173" s="4"/>
    </row>
    <row r="174" spans="3:7" s="3" customFormat="1" x14ac:dyDescent="0.25">
      <c r="C174" s="4"/>
      <c r="D174" s="4"/>
      <c r="E174" s="4"/>
      <c r="F174" s="7"/>
      <c r="G174" s="4"/>
    </row>
    <row r="175" spans="3:7" s="3" customFormat="1" x14ac:dyDescent="0.25">
      <c r="C175" s="4"/>
      <c r="D175" s="4"/>
      <c r="E175" s="4"/>
      <c r="F175" s="7"/>
      <c r="G175" s="4"/>
    </row>
    <row r="176" spans="3:7" s="3" customFormat="1" x14ac:dyDescent="0.25">
      <c r="C176" s="4"/>
      <c r="D176" s="4"/>
      <c r="E176" s="4"/>
      <c r="F176" s="7"/>
      <c r="G176" s="4"/>
    </row>
    <row r="177" spans="3:7" s="3" customFormat="1" x14ac:dyDescent="0.25">
      <c r="C177" s="4"/>
      <c r="D177" s="4"/>
      <c r="E177" s="4"/>
      <c r="F177" s="7"/>
      <c r="G177" s="4"/>
    </row>
    <row r="178" spans="3:7" s="3" customFormat="1" x14ac:dyDescent="0.25">
      <c r="C178" s="4"/>
      <c r="D178" s="4"/>
      <c r="E178" s="4"/>
      <c r="F178" s="7"/>
      <c r="G178" s="4"/>
    </row>
    <row r="179" spans="3:7" s="3" customFormat="1" x14ac:dyDescent="0.25">
      <c r="C179" s="4"/>
      <c r="D179" s="4"/>
      <c r="E179" s="4"/>
      <c r="F179" s="7"/>
      <c r="G179" s="4"/>
    </row>
    <row r="180" spans="3:7" s="3" customFormat="1" x14ac:dyDescent="0.25">
      <c r="C180" s="4"/>
      <c r="D180" s="4"/>
      <c r="E180" s="4"/>
      <c r="F180" s="7"/>
      <c r="G180" s="4"/>
    </row>
    <row r="181" spans="3:7" s="3" customFormat="1" x14ac:dyDescent="0.25">
      <c r="C181" s="4"/>
      <c r="D181" s="4"/>
      <c r="E181" s="4"/>
      <c r="F181" s="7"/>
      <c r="G181" s="4"/>
    </row>
    <row r="182" spans="3:7" s="3" customFormat="1" x14ac:dyDescent="0.25">
      <c r="C182" s="4"/>
      <c r="D182" s="4"/>
      <c r="E182" s="4"/>
      <c r="F182" s="7"/>
      <c r="G182" s="4"/>
    </row>
    <row r="183" spans="3:7" s="3" customFormat="1" x14ac:dyDescent="0.25">
      <c r="C183" s="4"/>
      <c r="D183" s="4"/>
      <c r="E183" s="4"/>
      <c r="F183" s="7"/>
      <c r="G183" s="4"/>
    </row>
    <row r="184" spans="3:7" s="3" customFormat="1" x14ac:dyDescent="0.25">
      <c r="C184" s="4"/>
      <c r="D184" s="4"/>
      <c r="E184" s="4"/>
      <c r="F184" s="7"/>
      <c r="G184" s="4"/>
    </row>
    <row r="185" spans="3:7" s="3" customFormat="1" x14ac:dyDescent="0.25">
      <c r="C185" s="4"/>
      <c r="D185" s="4"/>
      <c r="E185" s="4"/>
      <c r="F185" s="7"/>
      <c r="G185" s="4"/>
    </row>
    <row r="186" spans="3:7" s="3" customFormat="1" x14ac:dyDescent="0.25">
      <c r="C186" s="4"/>
      <c r="D186" s="4"/>
      <c r="E186" s="4"/>
      <c r="F186" s="7"/>
      <c r="G186" s="4"/>
    </row>
    <row r="187" spans="3:7" s="3" customFormat="1" x14ac:dyDescent="0.25">
      <c r="C187" s="4"/>
      <c r="D187" s="4"/>
      <c r="E187" s="4"/>
      <c r="F187" s="7"/>
      <c r="G187" s="4"/>
    </row>
    <row r="188" spans="3:7" s="3" customFormat="1" x14ac:dyDescent="0.25">
      <c r="C188" s="4"/>
      <c r="D188" s="4"/>
      <c r="E188" s="4"/>
      <c r="F188" s="7"/>
      <c r="G188" s="4"/>
    </row>
    <row r="189" spans="3:7" s="3" customFormat="1" x14ac:dyDescent="0.25">
      <c r="C189" s="4"/>
      <c r="D189" s="4"/>
      <c r="E189" s="4"/>
      <c r="F189" s="7"/>
      <c r="G189" s="4"/>
    </row>
    <row r="190" spans="3:7" s="3" customFormat="1" x14ac:dyDescent="0.25">
      <c r="C190" s="4"/>
      <c r="D190" s="4"/>
      <c r="E190" s="4"/>
      <c r="F190" s="7"/>
      <c r="G190" s="4"/>
    </row>
    <row r="191" spans="3:7" s="3" customFormat="1" x14ac:dyDescent="0.25">
      <c r="C191" s="4"/>
      <c r="D191" s="4"/>
      <c r="E191" s="4"/>
      <c r="F191" s="7"/>
      <c r="G191" s="4"/>
    </row>
    <row r="192" spans="3:7" s="3" customFormat="1" x14ac:dyDescent="0.25">
      <c r="C192" s="4"/>
      <c r="D192" s="4"/>
      <c r="E192" s="4"/>
      <c r="F192" s="7"/>
      <c r="G192" s="4"/>
    </row>
    <row r="193" spans="3:7" s="3" customFormat="1" x14ac:dyDescent="0.25">
      <c r="C193" s="4"/>
      <c r="D193" s="4"/>
      <c r="E193" s="4"/>
      <c r="F193" s="7"/>
      <c r="G193" s="4"/>
    </row>
    <row r="194" spans="3:7" s="3" customFormat="1" x14ac:dyDescent="0.25">
      <c r="C194" s="4"/>
      <c r="D194" s="4"/>
      <c r="E194" s="4"/>
      <c r="F194" s="7"/>
      <c r="G194" s="4"/>
    </row>
    <row r="195" spans="3:7" s="3" customFormat="1" x14ac:dyDescent="0.25">
      <c r="C195" s="4"/>
      <c r="D195" s="4"/>
      <c r="E195" s="4"/>
      <c r="F195" s="7"/>
      <c r="G195" s="4"/>
    </row>
    <row r="196" spans="3:7" s="3" customFormat="1" x14ac:dyDescent="0.25">
      <c r="C196" s="4"/>
      <c r="D196" s="4"/>
      <c r="E196" s="4"/>
      <c r="F196" s="7"/>
      <c r="G196" s="4"/>
    </row>
    <row r="197" spans="3:7" s="3" customFormat="1" x14ac:dyDescent="0.25">
      <c r="C197" s="4"/>
      <c r="D197" s="4"/>
      <c r="E197" s="4"/>
      <c r="F197" s="7"/>
      <c r="G197" s="4"/>
    </row>
    <row r="198" spans="3:7" s="3" customFormat="1" x14ac:dyDescent="0.25">
      <c r="C198" s="4"/>
      <c r="D198" s="4"/>
      <c r="E198" s="4"/>
      <c r="F198" s="7"/>
      <c r="G198" s="4"/>
    </row>
    <row r="199" spans="3:7" s="3" customFormat="1" x14ac:dyDescent="0.25">
      <c r="C199" s="4"/>
      <c r="D199" s="4"/>
      <c r="E199" s="4"/>
      <c r="F199" s="7"/>
      <c r="G199" s="4"/>
    </row>
    <row r="200" spans="3:7" s="3" customFormat="1" x14ac:dyDescent="0.25">
      <c r="C200" s="4"/>
      <c r="D200" s="4"/>
      <c r="E200" s="4"/>
      <c r="F200" s="7"/>
      <c r="G200" s="4"/>
    </row>
    <row r="201" spans="3:7" s="3" customFormat="1" x14ac:dyDescent="0.25">
      <c r="C201" s="4"/>
      <c r="D201" s="4"/>
      <c r="E201" s="4"/>
      <c r="F201" s="7"/>
      <c r="G201" s="4"/>
    </row>
    <row r="202" spans="3:7" s="3" customFormat="1" x14ac:dyDescent="0.25">
      <c r="C202" s="4"/>
      <c r="D202" s="4"/>
      <c r="E202" s="4"/>
      <c r="F202" s="7"/>
      <c r="G202" s="4"/>
    </row>
    <row r="203" spans="3:7" s="3" customFormat="1" x14ac:dyDescent="0.25">
      <c r="C203" s="4"/>
      <c r="D203" s="4"/>
      <c r="E203" s="4"/>
      <c r="F203" s="7"/>
      <c r="G203" s="4"/>
    </row>
    <row r="204" spans="3:7" s="3" customFormat="1" x14ac:dyDescent="0.25">
      <c r="C204" s="4"/>
      <c r="D204" s="4"/>
      <c r="E204" s="4"/>
      <c r="F204" s="7"/>
      <c r="G204" s="4"/>
    </row>
    <row r="205" spans="3:7" s="3" customFormat="1" x14ac:dyDescent="0.25">
      <c r="C205" s="4"/>
      <c r="D205" s="4"/>
      <c r="E205" s="4"/>
      <c r="F205" s="7"/>
      <c r="G205" s="4"/>
    </row>
    <row r="206" spans="3:7" s="3" customFormat="1" x14ac:dyDescent="0.25">
      <c r="C206" s="4"/>
      <c r="D206" s="4"/>
      <c r="E206" s="4"/>
      <c r="F206" s="7"/>
      <c r="G206" s="4"/>
    </row>
    <row r="207" spans="3:7" s="3" customFormat="1" x14ac:dyDescent="0.25">
      <c r="C207" s="4"/>
      <c r="D207" s="4"/>
      <c r="E207" s="4"/>
      <c r="F207" s="7"/>
      <c r="G207" s="4"/>
    </row>
    <row r="208" spans="3:7" s="3" customFormat="1" x14ac:dyDescent="0.25">
      <c r="C208" s="4"/>
      <c r="D208" s="4"/>
      <c r="E208" s="4"/>
      <c r="F208" s="7"/>
      <c r="G208" s="4"/>
    </row>
    <row r="209" spans="3:7" s="3" customFormat="1" x14ac:dyDescent="0.25">
      <c r="C209" s="4"/>
      <c r="D209" s="4"/>
      <c r="E209" s="4"/>
      <c r="F209" s="7"/>
      <c r="G209" s="4"/>
    </row>
    <row r="210" spans="3:7" s="3" customFormat="1" x14ac:dyDescent="0.25">
      <c r="C210" s="4"/>
      <c r="D210" s="4"/>
      <c r="E210" s="4"/>
      <c r="F210" s="7"/>
      <c r="G210" s="4"/>
    </row>
    <row r="211" spans="3:7" s="3" customFormat="1" x14ac:dyDescent="0.25">
      <c r="C211" s="4"/>
      <c r="D211" s="4"/>
      <c r="E211" s="4"/>
      <c r="F211" s="7"/>
      <c r="G211" s="4"/>
    </row>
    <row r="212" spans="3:7" s="3" customFormat="1" x14ac:dyDescent="0.25">
      <c r="C212" s="4"/>
      <c r="D212" s="4"/>
      <c r="E212" s="4"/>
      <c r="F212" s="7"/>
      <c r="G212" s="4"/>
    </row>
    <row r="213" spans="3:7" s="3" customFormat="1" x14ac:dyDescent="0.25">
      <c r="C213" s="4"/>
      <c r="D213" s="4"/>
      <c r="E213" s="4"/>
      <c r="F213" s="7"/>
      <c r="G213" s="4"/>
    </row>
    <row r="214" spans="3:7" s="3" customFormat="1" x14ac:dyDescent="0.25">
      <c r="C214" s="4"/>
      <c r="D214" s="4"/>
      <c r="E214" s="4"/>
      <c r="F214" s="7"/>
      <c r="G214" s="4"/>
    </row>
    <row r="215" spans="3:7" s="3" customFormat="1" x14ac:dyDescent="0.25">
      <c r="C215" s="4"/>
      <c r="D215" s="4"/>
      <c r="E215" s="4"/>
      <c r="F215" s="7"/>
      <c r="G215" s="4"/>
    </row>
    <row r="216" spans="3:7" s="3" customFormat="1" x14ac:dyDescent="0.25">
      <c r="C216" s="4"/>
      <c r="D216" s="4"/>
      <c r="E216" s="4"/>
      <c r="F216" s="7"/>
      <c r="G216" s="4"/>
    </row>
    <row r="217" spans="3:7" s="3" customFormat="1" x14ac:dyDescent="0.25">
      <c r="C217" s="4"/>
      <c r="D217" s="4"/>
      <c r="E217" s="4"/>
      <c r="F217" s="7"/>
      <c r="G217" s="4"/>
    </row>
    <row r="218" spans="3:7" s="3" customFormat="1" x14ac:dyDescent="0.25">
      <c r="C218" s="4"/>
      <c r="D218" s="4"/>
      <c r="E218" s="4"/>
      <c r="F218" s="7"/>
      <c r="G218" s="4"/>
    </row>
    <row r="219" spans="3:7" s="3" customFormat="1" x14ac:dyDescent="0.25">
      <c r="C219" s="4"/>
      <c r="D219" s="4"/>
      <c r="E219" s="4"/>
      <c r="F219" s="7"/>
      <c r="G219" s="4"/>
    </row>
    <row r="220" spans="3:7" s="3" customFormat="1" x14ac:dyDescent="0.25">
      <c r="C220" s="4"/>
      <c r="D220" s="4"/>
      <c r="E220" s="4"/>
      <c r="F220" s="7"/>
      <c r="G220" s="4"/>
    </row>
    <row r="221" spans="3:7" s="3" customFormat="1" x14ac:dyDescent="0.25">
      <c r="C221" s="4"/>
      <c r="D221" s="4"/>
      <c r="E221" s="4"/>
      <c r="F221" s="7"/>
      <c r="G221" s="4"/>
    </row>
    <row r="222" spans="3:7" s="3" customFormat="1" x14ac:dyDescent="0.25">
      <c r="C222" s="4"/>
      <c r="D222" s="4"/>
      <c r="E222" s="4"/>
      <c r="F222" s="7"/>
      <c r="G222" s="4"/>
    </row>
    <row r="223" spans="3:7" s="3" customFormat="1" x14ac:dyDescent="0.25">
      <c r="C223" s="4"/>
      <c r="D223" s="4"/>
      <c r="E223" s="4"/>
      <c r="F223" s="7"/>
      <c r="G223" s="4"/>
    </row>
    <row r="224" spans="3:7" s="3" customFormat="1" x14ac:dyDescent="0.25">
      <c r="C224" s="4"/>
      <c r="D224" s="4"/>
      <c r="E224" s="4"/>
      <c r="F224" s="7"/>
      <c r="G224" s="4"/>
    </row>
    <row r="225" spans="3:7" s="3" customFormat="1" x14ac:dyDescent="0.25">
      <c r="C225" s="4"/>
      <c r="D225" s="4"/>
      <c r="E225" s="4"/>
      <c r="F225" s="7"/>
      <c r="G225" s="4"/>
    </row>
    <row r="226" spans="3:7" s="3" customFormat="1" x14ac:dyDescent="0.25">
      <c r="C226" s="4"/>
      <c r="D226" s="4"/>
      <c r="E226" s="4"/>
      <c r="F226" s="7"/>
      <c r="G226" s="4"/>
    </row>
    <row r="227" spans="3:7" s="3" customFormat="1" x14ac:dyDescent="0.25">
      <c r="C227" s="4"/>
      <c r="D227" s="4"/>
      <c r="E227" s="4"/>
      <c r="F227" s="7"/>
      <c r="G227" s="4"/>
    </row>
    <row r="228" spans="3:7" s="3" customFormat="1" x14ac:dyDescent="0.25">
      <c r="C228" s="4"/>
      <c r="D228" s="4"/>
      <c r="E228" s="4"/>
      <c r="F228" s="7"/>
      <c r="G228" s="4"/>
    </row>
    <row r="229" spans="3:7" s="3" customFormat="1" x14ac:dyDescent="0.25">
      <c r="C229" s="4"/>
      <c r="D229" s="4"/>
      <c r="E229" s="4"/>
      <c r="F229" s="7"/>
      <c r="G229" s="4"/>
    </row>
    <row r="230" spans="3:7" s="3" customFormat="1" x14ac:dyDescent="0.25">
      <c r="C230" s="4"/>
      <c r="D230" s="4"/>
      <c r="E230" s="4"/>
      <c r="F230" s="7"/>
      <c r="G230" s="4"/>
    </row>
    <row r="231" spans="3:7" s="3" customFormat="1" x14ac:dyDescent="0.25">
      <c r="C231" s="4"/>
      <c r="D231" s="4"/>
      <c r="E231" s="4"/>
      <c r="F231" s="7"/>
      <c r="G231" s="4"/>
    </row>
    <row r="232" spans="3:7" s="3" customFormat="1" x14ac:dyDescent="0.25">
      <c r="C232" s="4"/>
      <c r="D232" s="4"/>
      <c r="E232" s="4"/>
      <c r="F232" s="7"/>
      <c r="G232" s="4"/>
    </row>
    <row r="233" spans="3:7" s="3" customFormat="1" x14ac:dyDescent="0.25">
      <c r="C233" s="4"/>
      <c r="D233" s="4"/>
      <c r="E233" s="4"/>
      <c r="F233" s="7"/>
      <c r="G233" s="4"/>
    </row>
    <row r="234" spans="3:7" s="3" customFormat="1" x14ac:dyDescent="0.25">
      <c r="C234" s="4"/>
      <c r="D234" s="4"/>
      <c r="E234" s="4"/>
      <c r="F234" s="7"/>
      <c r="G234" s="4"/>
    </row>
    <row r="235" spans="3:7" s="3" customFormat="1" x14ac:dyDescent="0.25">
      <c r="C235" s="4"/>
      <c r="D235" s="4"/>
      <c r="E235" s="4"/>
      <c r="F235" s="7"/>
      <c r="G235" s="4"/>
    </row>
    <row r="236" spans="3:7" s="3" customFormat="1" x14ac:dyDescent="0.25">
      <c r="C236" s="4"/>
      <c r="D236" s="4"/>
      <c r="E236" s="4"/>
      <c r="F236" s="7"/>
      <c r="G236" s="4"/>
    </row>
    <row r="237" spans="3:7" s="3" customFormat="1" x14ac:dyDescent="0.25">
      <c r="C237" s="4"/>
      <c r="D237" s="4"/>
      <c r="E237" s="4"/>
      <c r="F237" s="7"/>
      <c r="G237" s="4"/>
    </row>
    <row r="238" spans="3:7" s="3" customFormat="1" x14ac:dyDescent="0.25">
      <c r="C238" s="4"/>
      <c r="D238" s="4"/>
      <c r="E238" s="4"/>
      <c r="F238" s="7"/>
      <c r="G238" s="4"/>
    </row>
    <row r="239" spans="3:7" s="3" customFormat="1" x14ac:dyDescent="0.25">
      <c r="C239" s="4"/>
      <c r="D239" s="4"/>
      <c r="E239" s="4"/>
      <c r="F239" s="7"/>
      <c r="G239" s="4"/>
    </row>
    <row r="240" spans="3:7" s="3" customFormat="1" x14ac:dyDescent="0.25">
      <c r="C240" s="4"/>
      <c r="D240" s="4"/>
      <c r="E240" s="4"/>
      <c r="F240" s="7"/>
      <c r="G240" s="4"/>
    </row>
    <row r="241" spans="3:7" s="3" customFormat="1" x14ac:dyDescent="0.25">
      <c r="C241" s="4"/>
      <c r="D241" s="4"/>
      <c r="E241" s="4"/>
      <c r="F241" s="7"/>
      <c r="G241" s="4"/>
    </row>
    <row r="242" spans="3:7" s="3" customFormat="1" x14ac:dyDescent="0.25">
      <c r="C242" s="4"/>
      <c r="D242" s="4"/>
      <c r="E242" s="4"/>
      <c r="F242" s="7"/>
      <c r="G242" s="4"/>
    </row>
    <row r="243" spans="3:7" s="3" customFormat="1" x14ac:dyDescent="0.25">
      <c r="C243" s="4"/>
      <c r="D243" s="4"/>
      <c r="E243" s="4"/>
      <c r="F243" s="7"/>
      <c r="G243" s="4"/>
    </row>
    <row r="244" spans="3:7" s="3" customFormat="1" x14ac:dyDescent="0.25">
      <c r="C244" s="4"/>
      <c r="D244" s="4"/>
      <c r="E244" s="4"/>
      <c r="F244" s="7"/>
      <c r="G244" s="4"/>
    </row>
    <row r="245" spans="3:7" s="3" customFormat="1" x14ac:dyDescent="0.25">
      <c r="C245" s="4"/>
      <c r="D245" s="4"/>
      <c r="E245" s="4"/>
      <c r="F245" s="7"/>
      <c r="G245" s="4"/>
    </row>
    <row r="246" spans="3:7" s="3" customFormat="1" x14ac:dyDescent="0.25">
      <c r="C246" s="4"/>
      <c r="D246" s="4"/>
      <c r="E246" s="4"/>
      <c r="F246" s="7"/>
      <c r="G246" s="4"/>
    </row>
    <row r="247" spans="3:7" s="3" customFormat="1" x14ac:dyDescent="0.25">
      <c r="C247" s="4"/>
      <c r="D247" s="4"/>
      <c r="E247" s="4"/>
      <c r="F247" s="7"/>
      <c r="G247" s="4"/>
    </row>
    <row r="248" spans="3:7" s="3" customFormat="1" x14ac:dyDescent="0.25">
      <c r="C248" s="4"/>
      <c r="D248" s="4"/>
      <c r="E248" s="4"/>
      <c r="F248" s="7"/>
      <c r="G248" s="4"/>
    </row>
    <row r="249" spans="3:7" s="3" customFormat="1" x14ac:dyDescent="0.25">
      <c r="C249" s="4"/>
      <c r="D249" s="4"/>
      <c r="E249" s="4"/>
      <c r="F249" s="7"/>
      <c r="G249" s="4"/>
    </row>
    <row r="250" spans="3:7" s="3" customFormat="1" x14ac:dyDescent="0.25">
      <c r="C250" s="4"/>
      <c r="D250" s="4"/>
      <c r="E250" s="4"/>
      <c r="F250" s="7"/>
      <c r="G250" s="4"/>
    </row>
    <row r="251" spans="3:7" s="3" customFormat="1" x14ac:dyDescent="0.25">
      <c r="C251" s="4"/>
      <c r="D251" s="4"/>
      <c r="E251" s="4"/>
      <c r="F251" s="7"/>
      <c r="G251" s="4"/>
    </row>
    <row r="252" spans="3:7" s="3" customFormat="1" x14ac:dyDescent="0.25">
      <c r="C252" s="4"/>
      <c r="D252" s="4"/>
      <c r="E252" s="4"/>
      <c r="F252" s="7"/>
      <c r="G252" s="4"/>
    </row>
    <row r="253" spans="3:7" s="3" customFormat="1" x14ac:dyDescent="0.25">
      <c r="C253" s="4"/>
      <c r="D253" s="4"/>
      <c r="E253" s="4"/>
      <c r="F253" s="7"/>
      <c r="G253" s="4"/>
    </row>
    <row r="254" spans="3:7" s="3" customFormat="1" x14ac:dyDescent="0.25">
      <c r="C254" s="4"/>
      <c r="D254" s="4"/>
      <c r="E254" s="4"/>
      <c r="F254" s="7"/>
      <c r="G254" s="4"/>
    </row>
    <row r="255" spans="3:7" s="3" customFormat="1" x14ac:dyDescent="0.25">
      <c r="C255" s="4"/>
      <c r="D255" s="4"/>
      <c r="E255" s="4"/>
      <c r="F255" s="7"/>
      <c r="G255" s="4"/>
    </row>
    <row r="256" spans="3:7" s="3" customFormat="1" x14ac:dyDescent="0.25">
      <c r="C256" s="4"/>
      <c r="D256" s="4"/>
      <c r="E256" s="4"/>
      <c r="F256" s="7"/>
      <c r="G256" s="4"/>
    </row>
    <row r="257" spans="2:7" s="3" customFormat="1" x14ac:dyDescent="0.25">
      <c r="C257" s="4"/>
      <c r="D257" s="4"/>
      <c r="E257" s="4"/>
      <c r="F257" s="7"/>
      <c r="G257" s="4"/>
    </row>
    <row r="258" spans="2:7" s="3" customFormat="1" x14ac:dyDescent="0.25">
      <c r="C258" s="4"/>
      <c r="D258" s="4"/>
      <c r="E258" s="4"/>
      <c r="F258" s="7"/>
      <c r="G258" s="4"/>
    </row>
    <row r="259" spans="2:7" s="3" customFormat="1" x14ac:dyDescent="0.25">
      <c r="C259" s="4"/>
      <c r="D259" s="4"/>
      <c r="E259" s="4"/>
      <c r="F259" s="7"/>
      <c r="G259" s="4"/>
    </row>
    <row r="260" spans="2:7" s="3" customFormat="1" x14ac:dyDescent="0.25">
      <c r="C260" s="4"/>
      <c r="D260" s="4"/>
      <c r="E260" s="4"/>
      <c r="F260" s="7"/>
      <c r="G260" s="4"/>
    </row>
    <row r="261" spans="2:7" s="3" customFormat="1" x14ac:dyDescent="0.25">
      <c r="C261" s="4"/>
      <c r="D261" s="4"/>
      <c r="E261" s="4"/>
      <c r="F261" s="7"/>
      <c r="G261" s="4"/>
    </row>
    <row r="262" spans="2:7" s="3" customFormat="1" x14ac:dyDescent="0.25">
      <c r="C262" s="4"/>
      <c r="D262" s="4"/>
      <c r="E262" s="4"/>
      <c r="F262" s="7"/>
      <c r="G262" s="4"/>
    </row>
    <row r="263" spans="2:7" s="3" customFormat="1" x14ac:dyDescent="0.25">
      <c r="B263" s="1"/>
      <c r="C263" s="2"/>
      <c r="D263" s="2"/>
      <c r="E263" s="2"/>
      <c r="F263" s="7"/>
      <c r="G263" s="4"/>
    </row>
    <row r="264" spans="2:7" s="3" customFormat="1" x14ac:dyDescent="0.25">
      <c r="B264" s="1"/>
      <c r="C264" s="2"/>
      <c r="D264" s="2"/>
      <c r="E264" s="2"/>
      <c r="F264" s="7"/>
      <c r="G264" s="4"/>
    </row>
    <row r="265" spans="2:7" x14ac:dyDescent="0.25">
      <c r="F265" s="7"/>
    </row>
    <row r="266" spans="2:7" x14ac:dyDescent="0.25">
      <c r="F266" s="7"/>
      <c r="G266" s="1"/>
    </row>
    <row r="267" spans="2:7" x14ac:dyDescent="0.25">
      <c r="F267" s="7"/>
      <c r="G267" s="1"/>
    </row>
    <row r="268" spans="2:7" x14ac:dyDescent="0.25">
      <c r="F268" s="7"/>
      <c r="G268" s="1"/>
    </row>
    <row r="269" spans="2:7" x14ac:dyDescent="0.25">
      <c r="F269" s="7"/>
      <c r="G269" s="1"/>
    </row>
    <row r="270" spans="2:7" x14ac:dyDescent="0.25">
      <c r="F270" s="7"/>
      <c r="G270" s="1"/>
    </row>
    <row r="271" spans="2:7" x14ac:dyDescent="0.25">
      <c r="F271" s="7"/>
      <c r="G271" s="1"/>
    </row>
    <row r="272" spans="2:7" x14ac:dyDescent="0.25">
      <c r="F272" s="7"/>
      <c r="G272" s="1"/>
    </row>
    <row r="273" spans="6:7" x14ac:dyDescent="0.25">
      <c r="F273" s="7"/>
      <c r="G273" s="1"/>
    </row>
    <row r="274" spans="6:7" x14ac:dyDescent="0.25">
      <c r="F274" s="7"/>
      <c r="G274" s="1"/>
    </row>
    <row r="275" spans="6:7" x14ac:dyDescent="0.25">
      <c r="F275" s="7"/>
      <c r="G275" s="1"/>
    </row>
    <row r="276" spans="6:7" x14ac:dyDescent="0.25">
      <c r="F276" s="7"/>
      <c r="G276" s="1"/>
    </row>
    <row r="277" spans="6:7" x14ac:dyDescent="0.25">
      <c r="F277" s="7"/>
      <c r="G277" s="1"/>
    </row>
    <row r="278" spans="6:7" x14ac:dyDescent="0.25">
      <c r="F278" s="7"/>
      <c r="G278" s="1"/>
    </row>
    <row r="279" spans="6:7" x14ac:dyDescent="0.25">
      <c r="F279" s="7"/>
      <c r="G279" s="1"/>
    </row>
    <row r="280" spans="6:7" x14ac:dyDescent="0.25">
      <c r="F280" s="7"/>
      <c r="G280" s="1"/>
    </row>
    <row r="281" spans="6:7" x14ac:dyDescent="0.25">
      <c r="F281" s="7"/>
      <c r="G281" s="1"/>
    </row>
    <row r="282" spans="6:7" x14ac:dyDescent="0.25">
      <c r="F282" s="7"/>
      <c r="G282" s="1"/>
    </row>
    <row r="283" spans="6:7" x14ac:dyDescent="0.25">
      <c r="F283" s="7"/>
      <c r="G283" s="1"/>
    </row>
    <row r="284" spans="6:7" x14ac:dyDescent="0.25">
      <c r="F284" s="7"/>
      <c r="G284" s="1"/>
    </row>
    <row r="285" spans="6:7" x14ac:dyDescent="0.25">
      <c r="F285" s="7"/>
      <c r="G285" s="1"/>
    </row>
    <row r="286" spans="6:7" x14ac:dyDescent="0.25">
      <c r="F286" s="7"/>
      <c r="G286" s="1"/>
    </row>
    <row r="287" spans="6:7" x14ac:dyDescent="0.25">
      <c r="F287" s="7"/>
      <c r="G287" s="1"/>
    </row>
    <row r="288" spans="6:7" x14ac:dyDescent="0.25">
      <c r="F288" s="7"/>
      <c r="G288" s="1"/>
    </row>
    <row r="289" spans="6:7" x14ac:dyDescent="0.25">
      <c r="F289" s="7"/>
      <c r="G289" s="1"/>
    </row>
    <row r="290" spans="6:7" x14ac:dyDescent="0.25">
      <c r="F290" s="7"/>
      <c r="G290" s="1"/>
    </row>
    <row r="291" spans="6:7" x14ac:dyDescent="0.25">
      <c r="F291" s="7"/>
      <c r="G291" s="1"/>
    </row>
    <row r="292" spans="6:7" x14ac:dyDescent="0.25">
      <c r="F292" s="7"/>
      <c r="G292" s="1"/>
    </row>
    <row r="293" spans="6:7" x14ac:dyDescent="0.25">
      <c r="F293" s="7"/>
      <c r="G293" s="1"/>
    </row>
    <row r="294" spans="6:7" x14ac:dyDescent="0.25">
      <c r="F294" s="7"/>
      <c r="G294" s="1"/>
    </row>
    <row r="295" spans="6:7" x14ac:dyDescent="0.25">
      <c r="F295" s="7"/>
      <c r="G295" s="1"/>
    </row>
    <row r="296" spans="6:7" x14ac:dyDescent="0.25">
      <c r="F296" s="7"/>
      <c r="G296" s="1"/>
    </row>
    <row r="297" spans="6:7" x14ac:dyDescent="0.25">
      <c r="F297" s="7"/>
      <c r="G297" s="1"/>
    </row>
    <row r="298" spans="6:7" x14ac:dyDescent="0.25">
      <c r="F298" s="7"/>
      <c r="G298" s="1"/>
    </row>
    <row r="299" spans="6:7" x14ac:dyDescent="0.25">
      <c r="F299" s="7"/>
      <c r="G299" s="1"/>
    </row>
    <row r="300" spans="6:7" x14ac:dyDescent="0.25">
      <c r="F300" s="7"/>
      <c r="G300" s="1"/>
    </row>
    <row r="301" spans="6:7" x14ac:dyDescent="0.25">
      <c r="F301" s="7"/>
      <c r="G301" s="1"/>
    </row>
    <row r="302" spans="6:7" x14ac:dyDescent="0.25">
      <c r="F302" s="7"/>
      <c r="G302" s="1"/>
    </row>
    <row r="303" spans="6:7" x14ac:dyDescent="0.25">
      <c r="F303" s="7"/>
      <c r="G303" s="1"/>
    </row>
    <row r="304" spans="6:7" x14ac:dyDescent="0.25">
      <c r="F304" s="7"/>
      <c r="G304" s="1"/>
    </row>
    <row r="305" spans="6:7" x14ac:dyDescent="0.25">
      <c r="F305" s="7"/>
      <c r="G305" s="1"/>
    </row>
    <row r="306" spans="6:7" x14ac:dyDescent="0.25">
      <c r="F306" s="7"/>
      <c r="G306" s="1"/>
    </row>
    <row r="307" spans="6:7" x14ac:dyDescent="0.25">
      <c r="F307" s="7"/>
      <c r="G307" s="1"/>
    </row>
    <row r="308" spans="6:7" x14ac:dyDescent="0.25">
      <c r="F308" s="7"/>
      <c r="G308" s="1"/>
    </row>
    <row r="309" spans="6:7" x14ac:dyDescent="0.25">
      <c r="F309" s="7"/>
      <c r="G309" s="1"/>
    </row>
    <row r="310" spans="6:7" x14ac:dyDescent="0.25">
      <c r="F310" s="7"/>
      <c r="G310" s="1"/>
    </row>
    <row r="311" spans="6:7" x14ac:dyDescent="0.25">
      <c r="F311" s="7"/>
      <c r="G311" s="1"/>
    </row>
    <row r="312" spans="6:7" x14ac:dyDescent="0.25">
      <c r="F312" s="7"/>
      <c r="G312" s="1"/>
    </row>
    <row r="313" spans="6:7" x14ac:dyDescent="0.25">
      <c r="F313" s="7"/>
      <c r="G313" s="1"/>
    </row>
    <row r="314" spans="6:7" x14ac:dyDescent="0.25">
      <c r="F314" s="7"/>
      <c r="G314" s="1"/>
    </row>
    <row r="315" spans="6:7" x14ac:dyDescent="0.25">
      <c r="F315" s="7"/>
      <c r="G315" s="1"/>
    </row>
    <row r="316" spans="6:7" x14ac:dyDescent="0.25">
      <c r="F316" s="7"/>
      <c r="G316" s="1"/>
    </row>
    <row r="317" spans="6:7" x14ac:dyDescent="0.25">
      <c r="F317" s="7"/>
      <c r="G317" s="1"/>
    </row>
    <row r="318" spans="6:7" x14ac:dyDescent="0.25">
      <c r="F318" s="7"/>
      <c r="G318" s="1"/>
    </row>
    <row r="319" spans="6:7" x14ac:dyDescent="0.25">
      <c r="F319" s="7"/>
      <c r="G319" s="1"/>
    </row>
    <row r="320" spans="6:7" x14ac:dyDescent="0.25">
      <c r="F320" s="7"/>
      <c r="G320" s="1"/>
    </row>
    <row r="321" spans="6:7" x14ac:dyDescent="0.25">
      <c r="F321" s="7"/>
      <c r="G321" s="1"/>
    </row>
    <row r="322" spans="6:7" x14ac:dyDescent="0.25">
      <c r="F322" s="7"/>
      <c r="G322" s="1"/>
    </row>
    <row r="323" spans="6:7" x14ac:dyDescent="0.25">
      <c r="F323" s="7"/>
      <c r="G323" s="1"/>
    </row>
    <row r="324" spans="6:7" x14ac:dyDescent="0.25">
      <c r="F324" s="7"/>
      <c r="G324" s="1"/>
    </row>
    <row r="325" spans="6:7" x14ac:dyDescent="0.25">
      <c r="F325" s="7"/>
      <c r="G325" s="1"/>
    </row>
    <row r="326" spans="6:7" x14ac:dyDescent="0.25">
      <c r="F326" s="7"/>
      <c r="G326" s="1"/>
    </row>
    <row r="327" spans="6:7" x14ac:dyDescent="0.25">
      <c r="F327" s="7"/>
      <c r="G327" s="1"/>
    </row>
    <row r="328" spans="6:7" x14ac:dyDescent="0.25">
      <c r="F328" s="7"/>
      <c r="G328" s="1"/>
    </row>
    <row r="329" spans="6:7" x14ac:dyDescent="0.25">
      <c r="F329" s="7"/>
      <c r="G329" s="1"/>
    </row>
    <row r="330" spans="6:7" x14ac:dyDescent="0.25">
      <c r="F330" s="7"/>
      <c r="G330" s="1"/>
    </row>
    <row r="331" spans="6:7" x14ac:dyDescent="0.25">
      <c r="F331" s="7"/>
      <c r="G331" s="1"/>
    </row>
    <row r="332" spans="6:7" x14ac:dyDescent="0.25">
      <c r="F332" s="7"/>
      <c r="G332" s="1"/>
    </row>
    <row r="333" spans="6:7" x14ac:dyDescent="0.25">
      <c r="F333" s="7"/>
      <c r="G333" s="1"/>
    </row>
    <row r="334" spans="6:7" x14ac:dyDescent="0.25">
      <c r="F334" s="7"/>
      <c r="G334" s="1"/>
    </row>
    <row r="335" spans="6:7" x14ac:dyDescent="0.25">
      <c r="F335" s="7"/>
      <c r="G335" s="1"/>
    </row>
    <row r="336" spans="6:7" x14ac:dyDescent="0.25">
      <c r="F336" s="7"/>
      <c r="G336" s="1"/>
    </row>
    <row r="337" spans="6:7" x14ac:dyDescent="0.25">
      <c r="F337" s="7"/>
      <c r="G337" s="1"/>
    </row>
    <row r="338" spans="6:7" x14ac:dyDescent="0.25">
      <c r="F338" s="7"/>
      <c r="G338" s="1"/>
    </row>
    <row r="339" spans="6:7" x14ac:dyDescent="0.25">
      <c r="F339" s="7"/>
      <c r="G339" s="1"/>
    </row>
    <row r="340" spans="6:7" x14ac:dyDescent="0.25">
      <c r="F340" s="7"/>
      <c r="G340" s="1"/>
    </row>
    <row r="341" spans="6:7" x14ac:dyDescent="0.25">
      <c r="F341" s="7"/>
      <c r="G341" s="1"/>
    </row>
    <row r="342" spans="6:7" x14ac:dyDescent="0.25">
      <c r="F342" s="7"/>
      <c r="G342" s="1"/>
    </row>
    <row r="343" spans="6:7" x14ac:dyDescent="0.25">
      <c r="F343" s="7"/>
      <c r="G343" s="1"/>
    </row>
    <row r="344" spans="6:7" x14ac:dyDescent="0.25">
      <c r="F344" s="7"/>
      <c r="G344" s="1"/>
    </row>
    <row r="345" spans="6:7" x14ac:dyDescent="0.25">
      <c r="F345" s="7"/>
      <c r="G345" s="1"/>
    </row>
    <row r="346" spans="6:7" x14ac:dyDescent="0.25">
      <c r="F346" s="7"/>
      <c r="G346" s="1"/>
    </row>
    <row r="347" spans="6:7" x14ac:dyDescent="0.25">
      <c r="F347" s="7"/>
      <c r="G347" s="1"/>
    </row>
    <row r="348" spans="6:7" x14ac:dyDescent="0.25">
      <c r="F348" s="7"/>
      <c r="G348" s="1"/>
    </row>
    <row r="349" spans="6:7" x14ac:dyDescent="0.25">
      <c r="F349" s="7"/>
      <c r="G349" s="1"/>
    </row>
    <row r="350" spans="6:7" x14ac:dyDescent="0.25">
      <c r="F350" s="7"/>
      <c r="G350" s="1"/>
    </row>
    <row r="351" spans="6:7" x14ac:dyDescent="0.25">
      <c r="F351" s="7"/>
      <c r="G351" s="1"/>
    </row>
    <row r="352" spans="6:7" x14ac:dyDescent="0.25">
      <c r="F352" s="7"/>
      <c r="G352" s="1"/>
    </row>
    <row r="353" spans="6:7" x14ac:dyDescent="0.25">
      <c r="F353" s="7"/>
      <c r="G353" s="1"/>
    </row>
    <row r="354" spans="6:7" x14ac:dyDescent="0.25">
      <c r="F354" s="7"/>
      <c r="G354" s="1"/>
    </row>
    <row r="355" spans="6:7" x14ac:dyDescent="0.25">
      <c r="F355" s="7"/>
      <c r="G355" s="1"/>
    </row>
    <row r="356" spans="6:7" x14ac:dyDescent="0.25">
      <c r="F356" s="7"/>
      <c r="G356" s="1"/>
    </row>
    <row r="357" spans="6:7" x14ac:dyDescent="0.25">
      <c r="F357" s="7"/>
      <c r="G357" s="1"/>
    </row>
    <row r="358" spans="6:7" x14ac:dyDescent="0.25">
      <c r="F358" s="7"/>
      <c r="G358" s="1"/>
    </row>
    <row r="359" spans="6:7" x14ac:dyDescent="0.25">
      <c r="F359" s="7"/>
      <c r="G359" s="1"/>
    </row>
    <row r="360" spans="6:7" x14ac:dyDescent="0.25">
      <c r="F360" s="7"/>
      <c r="G360" s="1"/>
    </row>
    <row r="361" spans="6:7" x14ac:dyDescent="0.25">
      <c r="F361" s="7"/>
      <c r="G361" s="1"/>
    </row>
    <row r="362" spans="6:7" x14ac:dyDescent="0.25">
      <c r="F362" s="7"/>
      <c r="G362" s="1"/>
    </row>
    <row r="363" spans="6:7" x14ac:dyDescent="0.25">
      <c r="F363" s="7"/>
      <c r="G363" s="1"/>
    </row>
    <row r="364" spans="6:7" x14ac:dyDescent="0.25">
      <c r="F364" s="7"/>
      <c r="G364" s="1"/>
    </row>
    <row r="365" spans="6:7" x14ac:dyDescent="0.25">
      <c r="F365" s="7"/>
      <c r="G365" s="1"/>
    </row>
    <row r="366" spans="6:7" x14ac:dyDescent="0.25">
      <c r="F366" s="7"/>
      <c r="G366" s="1"/>
    </row>
    <row r="367" spans="6:7" x14ac:dyDescent="0.25">
      <c r="F367" s="7"/>
      <c r="G367" s="1"/>
    </row>
    <row r="368" spans="6:7" x14ac:dyDescent="0.25">
      <c r="F368" s="7"/>
      <c r="G368" s="1"/>
    </row>
    <row r="369" spans="6:7" x14ac:dyDescent="0.25">
      <c r="F369" s="7"/>
      <c r="G369" s="1"/>
    </row>
    <row r="370" spans="6:7" x14ac:dyDescent="0.25">
      <c r="F370" s="7"/>
      <c r="G370" s="1"/>
    </row>
    <row r="371" spans="6:7" x14ac:dyDescent="0.25">
      <c r="F371" s="7"/>
      <c r="G371" s="1"/>
    </row>
    <row r="372" spans="6:7" x14ac:dyDescent="0.25">
      <c r="F372" s="7"/>
      <c r="G372" s="1"/>
    </row>
    <row r="373" spans="6:7" x14ac:dyDescent="0.25">
      <c r="F373" s="7"/>
      <c r="G373" s="1"/>
    </row>
    <row r="374" spans="6:7" x14ac:dyDescent="0.25">
      <c r="F374" s="7"/>
      <c r="G374" s="1"/>
    </row>
    <row r="375" spans="6:7" x14ac:dyDescent="0.25">
      <c r="F375" s="7"/>
      <c r="G375" s="1"/>
    </row>
    <row r="376" spans="6:7" x14ac:dyDescent="0.25">
      <c r="F376" s="7"/>
      <c r="G376" s="1"/>
    </row>
    <row r="377" spans="6:7" x14ac:dyDescent="0.25">
      <c r="F377" s="7"/>
      <c r="G377" s="1"/>
    </row>
    <row r="378" spans="6:7" x14ac:dyDescent="0.25">
      <c r="F378" s="7"/>
      <c r="G378" s="1"/>
    </row>
    <row r="379" spans="6:7" x14ac:dyDescent="0.25">
      <c r="F379" s="7"/>
      <c r="G379" s="1"/>
    </row>
    <row r="380" spans="6:7" x14ac:dyDescent="0.25">
      <c r="F380" s="7"/>
      <c r="G380" s="1"/>
    </row>
    <row r="381" spans="6:7" x14ac:dyDescent="0.25">
      <c r="F381" s="7"/>
      <c r="G381" s="1"/>
    </row>
    <row r="382" spans="6:7" x14ac:dyDescent="0.25">
      <c r="F382" s="7"/>
      <c r="G382" s="1"/>
    </row>
    <row r="383" spans="6:7" x14ac:dyDescent="0.25">
      <c r="F383" s="7"/>
      <c r="G383" s="1"/>
    </row>
    <row r="384" spans="6:7" x14ac:dyDescent="0.25">
      <c r="F384" s="7"/>
      <c r="G384" s="1"/>
    </row>
    <row r="385" spans="6:7" x14ac:dyDescent="0.25">
      <c r="F385" s="7"/>
      <c r="G385" s="1"/>
    </row>
    <row r="386" spans="6:7" x14ac:dyDescent="0.25">
      <c r="F386" s="7"/>
      <c r="G386" s="1"/>
    </row>
    <row r="387" spans="6:7" x14ac:dyDescent="0.25">
      <c r="F387" s="7"/>
      <c r="G387" s="1"/>
    </row>
    <row r="388" spans="6:7" x14ac:dyDescent="0.25">
      <c r="F388" s="7"/>
      <c r="G388" s="1"/>
    </row>
    <row r="389" spans="6:7" x14ac:dyDescent="0.25">
      <c r="F389" s="7"/>
      <c r="G389" s="1"/>
    </row>
    <row r="390" spans="6:7" x14ac:dyDescent="0.25">
      <c r="F390" s="7"/>
      <c r="G390" s="1"/>
    </row>
    <row r="391" spans="6:7" x14ac:dyDescent="0.25">
      <c r="F391" s="7"/>
      <c r="G391" s="1"/>
    </row>
    <row r="392" spans="6:7" x14ac:dyDescent="0.25">
      <c r="F392" s="7"/>
      <c r="G392" s="1"/>
    </row>
    <row r="393" spans="6:7" x14ac:dyDescent="0.25">
      <c r="F393" s="7"/>
      <c r="G393" s="1"/>
    </row>
    <row r="394" spans="6:7" x14ac:dyDescent="0.25">
      <c r="F394" s="7"/>
      <c r="G394" s="1"/>
    </row>
    <row r="395" spans="6:7" x14ac:dyDescent="0.25">
      <c r="F395" s="7"/>
      <c r="G395" s="1"/>
    </row>
    <row r="396" spans="6:7" x14ac:dyDescent="0.25">
      <c r="F396" s="7"/>
      <c r="G396" s="1"/>
    </row>
    <row r="397" spans="6:7" x14ac:dyDescent="0.25">
      <c r="F397" s="7"/>
      <c r="G397" s="1"/>
    </row>
    <row r="398" spans="6:7" x14ac:dyDescent="0.25">
      <c r="F398" s="7"/>
      <c r="G398" s="1"/>
    </row>
    <row r="399" spans="6:7" x14ac:dyDescent="0.25">
      <c r="F399" s="7"/>
      <c r="G399" s="1"/>
    </row>
    <row r="400" spans="6:7" x14ac:dyDescent="0.25">
      <c r="F400" s="7"/>
      <c r="G400" s="1"/>
    </row>
    <row r="401" spans="6:7" x14ac:dyDescent="0.25">
      <c r="F401" s="7"/>
      <c r="G401" s="1"/>
    </row>
    <row r="402" spans="6:7" x14ac:dyDescent="0.25">
      <c r="F402" s="7"/>
      <c r="G402" s="1"/>
    </row>
    <row r="403" spans="6:7" x14ac:dyDescent="0.25">
      <c r="F403" s="7"/>
      <c r="G403" s="1"/>
    </row>
    <row r="404" spans="6:7" x14ac:dyDescent="0.25">
      <c r="F404" s="7"/>
      <c r="G404" s="1"/>
    </row>
    <row r="405" spans="6:7" x14ac:dyDescent="0.25">
      <c r="F405" s="7"/>
      <c r="G405" s="1"/>
    </row>
    <row r="406" spans="6:7" x14ac:dyDescent="0.25">
      <c r="F406" s="7"/>
      <c r="G406" s="1"/>
    </row>
    <row r="407" spans="6:7" x14ac:dyDescent="0.25">
      <c r="F407" s="7"/>
      <c r="G407" s="1"/>
    </row>
    <row r="408" spans="6:7" x14ac:dyDescent="0.25">
      <c r="F408" s="7"/>
      <c r="G408" s="1"/>
    </row>
    <row r="409" spans="6:7" x14ac:dyDescent="0.25">
      <c r="F409" s="7"/>
      <c r="G409" s="1"/>
    </row>
    <row r="410" spans="6:7" x14ac:dyDescent="0.25">
      <c r="F410" s="7"/>
      <c r="G410" s="1"/>
    </row>
    <row r="411" spans="6:7" x14ac:dyDescent="0.25">
      <c r="F411" s="7"/>
      <c r="G411" s="1"/>
    </row>
    <row r="412" spans="6:7" x14ac:dyDescent="0.25">
      <c r="F412" s="7"/>
      <c r="G412" s="1"/>
    </row>
    <row r="413" spans="6:7" x14ac:dyDescent="0.25">
      <c r="F413" s="7"/>
      <c r="G413" s="1"/>
    </row>
    <row r="414" spans="6:7" x14ac:dyDescent="0.25">
      <c r="F414" s="7"/>
      <c r="G414" s="1"/>
    </row>
    <row r="415" spans="6:7" x14ac:dyDescent="0.25">
      <c r="F415" s="7"/>
      <c r="G415" s="1"/>
    </row>
    <row r="416" spans="6:7" x14ac:dyDescent="0.25">
      <c r="F416" s="7"/>
      <c r="G416" s="1"/>
    </row>
    <row r="417" spans="6:7" x14ac:dyDescent="0.25">
      <c r="F417" s="7"/>
      <c r="G417" s="1"/>
    </row>
    <row r="418" spans="6:7" x14ac:dyDescent="0.25">
      <c r="F418" s="7"/>
      <c r="G418" s="1"/>
    </row>
    <row r="419" spans="6:7" x14ac:dyDescent="0.25">
      <c r="F419" s="7"/>
      <c r="G419" s="1"/>
    </row>
    <row r="420" spans="6:7" x14ac:dyDescent="0.25">
      <c r="F420" s="7"/>
      <c r="G420" s="1"/>
    </row>
    <row r="421" spans="6:7" x14ac:dyDescent="0.25">
      <c r="F421" s="7"/>
      <c r="G421" s="1"/>
    </row>
    <row r="422" spans="6:7" x14ac:dyDescent="0.25">
      <c r="F422" s="7"/>
      <c r="G422" s="1"/>
    </row>
    <row r="423" spans="6:7" x14ac:dyDescent="0.25">
      <c r="F423" s="7"/>
      <c r="G423" s="1"/>
    </row>
    <row r="424" spans="6:7" x14ac:dyDescent="0.25">
      <c r="F424" s="7"/>
      <c r="G424" s="1"/>
    </row>
    <row r="425" spans="6:7" x14ac:dyDescent="0.25">
      <c r="F425" s="7"/>
      <c r="G425" s="1"/>
    </row>
    <row r="426" spans="6:7" x14ac:dyDescent="0.25">
      <c r="F426" s="7"/>
      <c r="G426" s="1"/>
    </row>
    <row r="427" spans="6:7" x14ac:dyDescent="0.25">
      <c r="F427" s="7"/>
      <c r="G427" s="1"/>
    </row>
    <row r="428" spans="6:7" x14ac:dyDescent="0.25">
      <c r="F428" s="7"/>
      <c r="G428" s="1"/>
    </row>
    <row r="429" spans="6:7" x14ac:dyDescent="0.25">
      <c r="F429" s="7"/>
      <c r="G429" s="1"/>
    </row>
    <row r="430" spans="6:7" x14ac:dyDescent="0.25">
      <c r="F430" s="7"/>
      <c r="G430" s="1"/>
    </row>
    <row r="431" spans="6:7" x14ac:dyDescent="0.25">
      <c r="F431" s="7"/>
      <c r="G431" s="1"/>
    </row>
    <row r="432" spans="6:7" x14ac:dyDescent="0.25">
      <c r="F432" s="7"/>
      <c r="G432" s="1"/>
    </row>
    <row r="433" spans="6:7" x14ac:dyDescent="0.25">
      <c r="F433" s="7"/>
      <c r="G433" s="1"/>
    </row>
    <row r="434" spans="6:7" x14ac:dyDescent="0.25">
      <c r="F434" s="7"/>
      <c r="G434" s="1"/>
    </row>
    <row r="435" spans="6:7" x14ac:dyDescent="0.25">
      <c r="F435" s="7"/>
      <c r="G435" s="1"/>
    </row>
    <row r="436" spans="6:7" x14ac:dyDescent="0.25">
      <c r="F436" s="7"/>
      <c r="G436" s="1"/>
    </row>
    <row r="437" spans="6:7" x14ac:dyDescent="0.25">
      <c r="F437" s="7"/>
      <c r="G437" s="1"/>
    </row>
    <row r="438" spans="6:7" x14ac:dyDescent="0.25">
      <c r="F438" s="7"/>
      <c r="G438" s="1"/>
    </row>
    <row r="439" spans="6:7" x14ac:dyDescent="0.25">
      <c r="F439" s="7"/>
      <c r="G439" s="1"/>
    </row>
    <row r="440" spans="6:7" x14ac:dyDescent="0.25">
      <c r="F440" s="7"/>
      <c r="G440" s="1"/>
    </row>
    <row r="441" spans="6:7" x14ac:dyDescent="0.25">
      <c r="F441" s="7"/>
      <c r="G441" s="1"/>
    </row>
    <row r="442" spans="6:7" x14ac:dyDescent="0.25">
      <c r="F442" s="7"/>
      <c r="G442" s="1"/>
    </row>
    <row r="443" spans="6:7" x14ac:dyDescent="0.25">
      <c r="F443" s="7"/>
      <c r="G443" s="1"/>
    </row>
    <row r="444" spans="6:7" x14ac:dyDescent="0.25">
      <c r="F444" s="7"/>
      <c r="G444" s="1"/>
    </row>
    <row r="445" spans="6:7" x14ac:dyDescent="0.25">
      <c r="F445" s="7"/>
      <c r="G445" s="1"/>
    </row>
    <row r="446" spans="6:7" x14ac:dyDescent="0.25">
      <c r="F446" s="7"/>
      <c r="G446" s="1"/>
    </row>
    <row r="447" spans="6:7" x14ac:dyDescent="0.25">
      <c r="F447" s="7"/>
      <c r="G447" s="1"/>
    </row>
    <row r="448" spans="6:7" x14ac:dyDescent="0.25">
      <c r="F448" s="7"/>
      <c r="G448" s="1"/>
    </row>
    <row r="449" spans="6:7" x14ac:dyDescent="0.25">
      <c r="F449" s="7"/>
      <c r="G449" s="1"/>
    </row>
    <row r="450" spans="6:7" x14ac:dyDescent="0.25">
      <c r="F450" s="7"/>
      <c r="G450" s="1"/>
    </row>
    <row r="451" spans="6:7" x14ac:dyDescent="0.25">
      <c r="F451" s="7"/>
      <c r="G451" s="1"/>
    </row>
    <row r="452" spans="6:7" x14ac:dyDescent="0.25">
      <c r="F452" s="7"/>
      <c r="G452" s="1"/>
    </row>
    <row r="453" spans="6:7" x14ac:dyDescent="0.25">
      <c r="F453" s="7"/>
      <c r="G453" s="1"/>
    </row>
    <row r="454" spans="6:7" x14ac:dyDescent="0.25">
      <c r="F454" s="7"/>
      <c r="G454" s="1"/>
    </row>
    <row r="455" spans="6:7" x14ac:dyDescent="0.25">
      <c r="F455" s="7"/>
      <c r="G455" s="1"/>
    </row>
    <row r="456" spans="6:7" x14ac:dyDescent="0.25">
      <c r="F456" s="7"/>
      <c r="G456" s="1"/>
    </row>
    <row r="457" spans="6:7" x14ac:dyDescent="0.25">
      <c r="F457" s="7"/>
      <c r="G457" s="1"/>
    </row>
    <row r="458" spans="6:7" x14ac:dyDescent="0.25">
      <c r="F458" s="7"/>
      <c r="G458" s="1"/>
    </row>
    <row r="459" spans="6:7" x14ac:dyDescent="0.25">
      <c r="F459" s="7"/>
      <c r="G459" s="1"/>
    </row>
    <row r="460" spans="6:7" x14ac:dyDescent="0.25">
      <c r="F460" s="7"/>
      <c r="G460" s="1"/>
    </row>
    <row r="461" spans="6:7" x14ac:dyDescent="0.25">
      <c r="F461" s="7"/>
      <c r="G461" s="1"/>
    </row>
    <row r="462" spans="6:7" x14ac:dyDescent="0.25">
      <c r="F462" s="7"/>
      <c r="G462" s="1"/>
    </row>
    <row r="463" spans="6:7" x14ac:dyDescent="0.25">
      <c r="F463" s="7"/>
      <c r="G463" s="1"/>
    </row>
    <row r="464" spans="6:7" x14ac:dyDescent="0.25">
      <c r="F464" s="7"/>
      <c r="G464" s="1"/>
    </row>
    <row r="465" spans="6:7" x14ac:dyDescent="0.25">
      <c r="F465" s="7"/>
      <c r="G465" s="1"/>
    </row>
    <row r="466" spans="6:7" x14ac:dyDescent="0.25">
      <c r="F466" s="7"/>
      <c r="G466" s="1"/>
    </row>
    <row r="467" spans="6:7" x14ac:dyDescent="0.25">
      <c r="F467" s="7"/>
      <c r="G467" s="1"/>
    </row>
    <row r="468" spans="6:7" x14ac:dyDescent="0.25">
      <c r="F468" s="7"/>
      <c r="G468" s="1"/>
    </row>
    <row r="469" spans="6:7" x14ac:dyDescent="0.25">
      <c r="F469" s="7"/>
      <c r="G469" s="1"/>
    </row>
    <row r="470" spans="6:7" x14ac:dyDescent="0.25">
      <c r="F470" s="7"/>
      <c r="G470" s="1"/>
    </row>
    <row r="471" spans="6:7" x14ac:dyDescent="0.25">
      <c r="F471" s="7"/>
      <c r="G471" s="1"/>
    </row>
    <row r="472" spans="6:7" x14ac:dyDescent="0.25">
      <c r="F472" s="7"/>
      <c r="G472" s="1"/>
    </row>
    <row r="473" spans="6:7" x14ac:dyDescent="0.25">
      <c r="F473" s="7"/>
      <c r="G473" s="1"/>
    </row>
    <row r="474" spans="6:7" x14ac:dyDescent="0.25">
      <c r="F474" s="7"/>
      <c r="G474" s="1"/>
    </row>
    <row r="475" spans="6:7" x14ac:dyDescent="0.25">
      <c r="F475" s="7"/>
      <c r="G475" s="1"/>
    </row>
    <row r="476" spans="6:7" x14ac:dyDescent="0.25">
      <c r="F476" s="7"/>
      <c r="G476" s="1"/>
    </row>
    <row r="477" spans="6:7" x14ac:dyDescent="0.25">
      <c r="F477" s="7"/>
      <c r="G477" s="1"/>
    </row>
    <row r="478" spans="6:7" x14ac:dyDescent="0.25">
      <c r="F478" s="7"/>
      <c r="G478" s="1"/>
    </row>
    <row r="479" spans="6:7" x14ac:dyDescent="0.25">
      <c r="F479" s="7"/>
      <c r="G479" s="1"/>
    </row>
    <row r="480" spans="6:7" x14ac:dyDescent="0.25">
      <c r="F480" s="7"/>
      <c r="G480" s="1"/>
    </row>
    <row r="481" spans="6:7" x14ac:dyDescent="0.25">
      <c r="F481" s="7"/>
      <c r="G481" s="1"/>
    </row>
    <row r="482" spans="6:7" x14ac:dyDescent="0.25">
      <c r="F482" s="7"/>
      <c r="G482" s="1"/>
    </row>
    <row r="483" spans="6:7" x14ac:dyDescent="0.25">
      <c r="F483" s="7"/>
      <c r="G483" s="1"/>
    </row>
    <row r="484" spans="6:7" x14ac:dyDescent="0.25">
      <c r="F484" s="7"/>
      <c r="G484" s="1"/>
    </row>
    <row r="485" spans="6:7" x14ac:dyDescent="0.25">
      <c r="F485" s="7"/>
      <c r="G485" s="1"/>
    </row>
    <row r="486" spans="6:7" x14ac:dyDescent="0.25">
      <c r="F486" s="7"/>
      <c r="G486" s="1"/>
    </row>
    <row r="487" spans="6:7" x14ac:dyDescent="0.25">
      <c r="F487" s="7"/>
      <c r="G487" s="1"/>
    </row>
    <row r="488" spans="6:7" x14ac:dyDescent="0.25">
      <c r="F488" s="7"/>
      <c r="G488" s="1"/>
    </row>
    <row r="489" spans="6:7" x14ac:dyDescent="0.25">
      <c r="F489" s="7"/>
      <c r="G489" s="1"/>
    </row>
    <row r="490" spans="6:7" x14ac:dyDescent="0.25">
      <c r="F490" s="7"/>
      <c r="G490" s="1"/>
    </row>
    <row r="491" spans="6:7" x14ac:dyDescent="0.25">
      <c r="F491" s="7"/>
      <c r="G491" s="1"/>
    </row>
    <row r="492" spans="6:7" x14ac:dyDescent="0.25">
      <c r="F492" s="7"/>
      <c r="G492" s="1"/>
    </row>
    <row r="493" spans="6:7" x14ac:dyDescent="0.25">
      <c r="F493" s="7"/>
      <c r="G493" s="1"/>
    </row>
    <row r="494" spans="6:7" x14ac:dyDescent="0.25">
      <c r="F494" s="7"/>
      <c r="G494" s="1"/>
    </row>
    <row r="495" spans="6:7" x14ac:dyDescent="0.25">
      <c r="F495" s="7"/>
      <c r="G495" s="1"/>
    </row>
    <row r="496" spans="6:7" x14ac:dyDescent="0.25">
      <c r="F496" s="7"/>
      <c r="G496" s="1"/>
    </row>
    <row r="497" spans="6:7" x14ac:dyDescent="0.25">
      <c r="F497" s="7"/>
      <c r="G497" s="1"/>
    </row>
    <row r="498" spans="6:7" x14ac:dyDescent="0.25">
      <c r="F498" s="7"/>
      <c r="G498" s="1"/>
    </row>
    <row r="499" spans="6:7" x14ac:dyDescent="0.25">
      <c r="F499" s="7"/>
      <c r="G499" s="1"/>
    </row>
    <row r="500" spans="6:7" x14ac:dyDescent="0.25">
      <c r="F500" s="7"/>
      <c r="G500" s="1"/>
    </row>
    <row r="501" spans="6:7" x14ac:dyDescent="0.25">
      <c r="F501" s="7"/>
      <c r="G501" s="1"/>
    </row>
    <row r="502" spans="6:7" x14ac:dyDescent="0.25">
      <c r="F502" s="7"/>
      <c r="G502" s="1"/>
    </row>
    <row r="503" spans="6:7" x14ac:dyDescent="0.25">
      <c r="F503" s="7"/>
      <c r="G503" s="1"/>
    </row>
    <row r="504" spans="6:7" x14ac:dyDescent="0.25">
      <c r="F504" s="7"/>
      <c r="G504" s="1"/>
    </row>
    <row r="505" spans="6:7" x14ac:dyDescent="0.25">
      <c r="F505" s="7"/>
      <c r="G505" s="1"/>
    </row>
    <row r="506" spans="6:7" x14ac:dyDescent="0.25">
      <c r="F506" s="7"/>
      <c r="G506" s="1"/>
    </row>
    <row r="507" spans="6:7" x14ac:dyDescent="0.25">
      <c r="F507" s="7"/>
      <c r="G507" s="1"/>
    </row>
    <row r="508" spans="6:7" x14ac:dyDescent="0.25">
      <c r="F508" s="7"/>
      <c r="G508" s="1"/>
    </row>
    <row r="509" spans="6:7" x14ac:dyDescent="0.25">
      <c r="F509" s="7"/>
      <c r="G509" s="1"/>
    </row>
    <row r="510" spans="6:7" x14ac:dyDescent="0.25">
      <c r="F510" s="7"/>
      <c r="G510" s="1"/>
    </row>
    <row r="511" spans="6:7" x14ac:dyDescent="0.25">
      <c r="F511" s="7"/>
      <c r="G511" s="1"/>
    </row>
    <row r="512" spans="6:7" x14ac:dyDescent="0.25">
      <c r="F512" s="7"/>
      <c r="G512" s="1"/>
    </row>
    <row r="513" spans="6:7" x14ac:dyDescent="0.25">
      <c r="F513" s="7"/>
      <c r="G513" s="1"/>
    </row>
    <row r="514" spans="6:7" x14ac:dyDescent="0.25">
      <c r="F514" s="7"/>
      <c r="G514" s="1"/>
    </row>
    <row r="515" spans="6:7" x14ac:dyDescent="0.25">
      <c r="F515" s="7"/>
      <c r="G515" s="1"/>
    </row>
    <row r="516" spans="6:7" x14ac:dyDescent="0.25">
      <c r="F516" s="7"/>
      <c r="G516" s="1"/>
    </row>
    <row r="517" spans="6:7" x14ac:dyDescent="0.25">
      <c r="F517" s="7"/>
      <c r="G517" s="1"/>
    </row>
    <row r="518" spans="6:7" x14ac:dyDescent="0.25">
      <c r="F518" s="7"/>
      <c r="G518" s="1"/>
    </row>
    <row r="519" spans="6:7" x14ac:dyDescent="0.25">
      <c r="F519" s="7"/>
      <c r="G519" s="1"/>
    </row>
    <row r="520" spans="6:7" x14ac:dyDescent="0.25">
      <c r="F520" s="7"/>
      <c r="G520" s="1"/>
    </row>
    <row r="521" spans="6:7" x14ac:dyDescent="0.25">
      <c r="F521" s="7"/>
      <c r="G521" s="1"/>
    </row>
    <row r="522" spans="6:7" x14ac:dyDescent="0.25">
      <c r="F522" s="7"/>
      <c r="G522" s="1"/>
    </row>
    <row r="523" spans="6:7" x14ac:dyDescent="0.25">
      <c r="F523" s="7"/>
      <c r="G523" s="1"/>
    </row>
    <row r="524" spans="6:7" x14ac:dyDescent="0.25">
      <c r="F524" s="7"/>
      <c r="G524" s="1"/>
    </row>
    <row r="525" spans="6:7" x14ac:dyDescent="0.25">
      <c r="F525" s="7"/>
      <c r="G525" s="1"/>
    </row>
    <row r="526" spans="6:7" x14ac:dyDescent="0.25">
      <c r="F526" s="7"/>
      <c r="G526" s="1"/>
    </row>
    <row r="527" spans="6:7" x14ac:dyDescent="0.25">
      <c r="F527" s="7"/>
      <c r="G527" s="1"/>
    </row>
    <row r="528" spans="6:7" x14ac:dyDescent="0.25">
      <c r="F528" s="7"/>
      <c r="G528" s="1"/>
    </row>
    <row r="529" spans="6:7" x14ac:dyDescent="0.25">
      <c r="F529" s="7"/>
      <c r="G529" s="1"/>
    </row>
    <row r="530" spans="6:7" x14ac:dyDescent="0.25">
      <c r="F530" s="7"/>
      <c r="G530" s="1"/>
    </row>
    <row r="531" spans="6:7" x14ac:dyDescent="0.25">
      <c r="F531" s="7"/>
      <c r="G531" s="1"/>
    </row>
    <row r="532" spans="6:7" x14ac:dyDescent="0.25">
      <c r="F532" s="7"/>
      <c r="G532" s="1"/>
    </row>
    <row r="533" spans="6:7" x14ac:dyDescent="0.25">
      <c r="F533" s="7"/>
      <c r="G533" s="1"/>
    </row>
    <row r="534" spans="6:7" x14ac:dyDescent="0.25">
      <c r="F534" s="7"/>
      <c r="G534" s="1"/>
    </row>
    <row r="535" spans="6:7" x14ac:dyDescent="0.25">
      <c r="F535" s="7"/>
      <c r="G535" s="1"/>
    </row>
    <row r="536" spans="6:7" x14ac:dyDescent="0.25">
      <c r="F536" s="7"/>
      <c r="G536" s="1"/>
    </row>
    <row r="537" spans="6:7" x14ac:dyDescent="0.25">
      <c r="F537" s="7"/>
      <c r="G537" s="1"/>
    </row>
    <row r="538" spans="6:7" x14ac:dyDescent="0.25">
      <c r="F538" s="7"/>
      <c r="G538" s="1"/>
    </row>
    <row r="539" spans="6:7" x14ac:dyDescent="0.25">
      <c r="F539" s="7"/>
      <c r="G539" s="1"/>
    </row>
    <row r="540" spans="6:7" x14ac:dyDescent="0.25">
      <c r="F540" s="7"/>
      <c r="G540" s="1"/>
    </row>
    <row r="541" spans="6:7" x14ac:dyDescent="0.25">
      <c r="F541" s="7"/>
      <c r="G541" s="1"/>
    </row>
    <row r="542" spans="6:7" x14ac:dyDescent="0.25">
      <c r="F542" s="7"/>
      <c r="G542" s="1"/>
    </row>
    <row r="543" spans="6:7" x14ac:dyDescent="0.25">
      <c r="F543" s="7"/>
      <c r="G543" s="1"/>
    </row>
    <row r="544" spans="6:7" x14ac:dyDescent="0.25">
      <c r="F544" s="7"/>
      <c r="G544" s="1"/>
    </row>
    <row r="545" spans="6:7" x14ac:dyDescent="0.25">
      <c r="F545" s="7"/>
      <c r="G545" s="1"/>
    </row>
    <row r="546" spans="6:7" x14ac:dyDescent="0.25">
      <c r="F546" s="7"/>
      <c r="G546" s="1"/>
    </row>
    <row r="547" spans="6:7" x14ac:dyDescent="0.25">
      <c r="F547" s="7"/>
      <c r="G547" s="1"/>
    </row>
    <row r="548" spans="6:7" x14ac:dyDescent="0.25">
      <c r="F548" s="7"/>
      <c r="G548" s="1"/>
    </row>
    <row r="549" spans="6:7" x14ac:dyDescent="0.25">
      <c r="F549" s="7"/>
      <c r="G549" s="1"/>
    </row>
    <row r="550" spans="6:7" x14ac:dyDescent="0.25">
      <c r="F550" s="7"/>
      <c r="G550" s="1"/>
    </row>
    <row r="551" spans="6:7" x14ac:dyDescent="0.25">
      <c r="F551" s="7"/>
      <c r="G551" s="1"/>
    </row>
    <row r="552" spans="6:7" x14ac:dyDescent="0.25">
      <c r="F552" s="7"/>
      <c r="G552" s="1"/>
    </row>
    <row r="553" spans="6:7" x14ac:dyDescent="0.25">
      <c r="F553" s="7"/>
      <c r="G553" s="1"/>
    </row>
    <row r="554" spans="6:7" x14ac:dyDescent="0.25">
      <c r="F554" s="7"/>
      <c r="G554" s="1"/>
    </row>
    <row r="555" spans="6:7" x14ac:dyDescent="0.25">
      <c r="F555" s="7"/>
      <c r="G555" s="1"/>
    </row>
    <row r="556" spans="6:7" x14ac:dyDescent="0.25">
      <c r="F556" s="7"/>
      <c r="G556" s="1"/>
    </row>
    <row r="557" spans="6:7" x14ac:dyDescent="0.25">
      <c r="F557" s="7"/>
      <c r="G557" s="1"/>
    </row>
    <row r="558" spans="6:7" x14ac:dyDescent="0.25">
      <c r="F558" s="7"/>
      <c r="G558" s="1"/>
    </row>
    <row r="559" spans="6:7" x14ac:dyDescent="0.25">
      <c r="F559" s="7"/>
      <c r="G559" s="1"/>
    </row>
    <row r="560" spans="6:7" x14ac:dyDescent="0.25">
      <c r="F560" s="7"/>
      <c r="G560" s="1"/>
    </row>
    <row r="561" spans="6:7" x14ac:dyDescent="0.25">
      <c r="F561" s="7"/>
      <c r="G561" s="1"/>
    </row>
    <row r="562" spans="6:7" x14ac:dyDescent="0.25">
      <c r="F562" s="7"/>
      <c r="G562" s="1"/>
    </row>
    <row r="563" spans="6:7" x14ac:dyDescent="0.25">
      <c r="F563" s="7"/>
      <c r="G563" s="1"/>
    </row>
    <row r="564" spans="6:7" x14ac:dyDescent="0.25">
      <c r="F564" s="7"/>
      <c r="G564" s="1"/>
    </row>
    <row r="565" spans="6:7" x14ac:dyDescent="0.25">
      <c r="F565" s="7"/>
      <c r="G565" s="1"/>
    </row>
    <row r="566" spans="6:7" x14ac:dyDescent="0.25">
      <c r="F566" s="7"/>
      <c r="G566" s="1"/>
    </row>
    <row r="567" spans="6:7" x14ac:dyDescent="0.25">
      <c r="F567" s="7"/>
      <c r="G567" s="1"/>
    </row>
    <row r="568" spans="6:7" x14ac:dyDescent="0.25">
      <c r="F568" s="7"/>
      <c r="G568" s="1"/>
    </row>
    <row r="569" spans="6:7" x14ac:dyDescent="0.25">
      <c r="F569" s="7"/>
      <c r="G569" s="1"/>
    </row>
    <row r="570" spans="6:7" x14ac:dyDescent="0.25">
      <c r="F570" s="7"/>
      <c r="G570" s="1"/>
    </row>
    <row r="571" spans="6:7" x14ac:dyDescent="0.25">
      <c r="F571" s="7"/>
      <c r="G571" s="1"/>
    </row>
    <row r="572" spans="6:7" x14ac:dyDescent="0.25">
      <c r="F572" s="7"/>
      <c r="G572" s="1"/>
    </row>
    <row r="573" spans="6:7" x14ac:dyDescent="0.25">
      <c r="F573" s="7"/>
      <c r="G573" s="1"/>
    </row>
    <row r="574" spans="6:7" x14ac:dyDescent="0.25">
      <c r="F574" s="7"/>
      <c r="G574" s="1"/>
    </row>
    <row r="575" spans="6:7" x14ac:dyDescent="0.25">
      <c r="F575" s="7"/>
      <c r="G575" s="1"/>
    </row>
    <row r="576" spans="6:7" x14ac:dyDescent="0.25">
      <c r="F576" s="7"/>
      <c r="G576" s="1"/>
    </row>
    <row r="577" spans="6:7" x14ac:dyDescent="0.25">
      <c r="F577" s="7"/>
      <c r="G577" s="1"/>
    </row>
    <row r="578" spans="6:7" x14ac:dyDescent="0.25">
      <c r="F578" s="7"/>
      <c r="G578" s="1"/>
    </row>
    <row r="579" spans="6:7" x14ac:dyDescent="0.25">
      <c r="F579" s="7"/>
      <c r="G579" s="1"/>
    </row>
    <row r="580" spans="6:7" x14ac:dyDescent="0.25">
      <c r="F580" s="7"/>
      <c r="G580" s="1"/>
    </row>
    <row r="581" spans="6:7" x14ac:dyDescent="0.25">
      <c r="F581" s="7"/>
      <c r="G581" s="1"/>
    </row>
    <row r="582" spans="6:7" x14ac:dyDescent="0.25">
      <c r="F582" s="7"/>
      <c r="G582" s="1"/>
    </row>
    <row r="583" spans="6:7" x14ac:dyDescent="0.25">
      <c r="F583" s="7"/>
      <c r="G583" s="1"/>
    </row>
    <row r="584" spans="6:7" x14ac:dyDescent="0.25">
      <c r="F584" s="7"/>
      <c r="G584" s="1"/>
    </row>
    <row r="585" spans="6:7" x14ac:dyDescent="0.25">
      <c r="F585" s="7"/>
      <c r="G585" s="1"/>
    </row>
    <row r="586" spans="6:7" x14ac:dyDescent="0.25">
      <c r="F586" s="7"/>
      <c r="G586" s="1"/>
    </row>
    <row r="587" spans="6:7" x14ac:dyDescent="0.25">
      <c r="F587" s="7"/>
      <c r="G587" s="1"/>
    </row>
    <row r="588" spans="6:7" x14ac:dyDescent="0.25">
      <c r="F588" s="7"/>
      <c r="G588" s="1"/>
    </row>
    <row r="589" spans="6:7" x14ac:dyDescent="0.25">
      <c r="F589" s="7"/>
      <c r="G589" s="1"/>
    </row>
    <row r="590" spans="6:7" x14ac:dyDescent="0.25">
      <c r="F590" s="7"/>
      <c r="G590" s="1"/>
    </row>
    <row r="591" spans="6:7" x14ac:dyDescent="0.25">
      <c r="F591" s="7"/>
      <c r="G591" s="1"/>
    </row>
    <row r="592" spans="6:7" x14ac:dyDescent="0.25">
      <c r="F592" s="7"/>
      <c r="G592" s="1"/>
    </row>
    <row r="593" spans="6:7" x14ac:dyDescent="0.25">
      <c r="F593" s="7"/>
      <c r="G593" s="1"/>
    </row>
    <row r="594" spans="6:7" x14ac:dyDescent="0.25">
      <c r="F594" s="7"/>
      <c r="G594" s="1"/>
    </row>
    <row r="595" spans="6:7" x14ac:dyDescent="0.25">
      <c r="F595" s="7"/>
      <c r="G595" s="1"/>
    </row>
    <row r="596" spans="6:7" x14ac:dyDescent="0.25">
      <c r="F596" s="7"/>
      <c r="G596" s="1"/>
    </row>
    <row r="597" spans="6:7" x14ac:dyDescent="0.25">
      <c r="F597" s="7"/>
      <c r="G597" s="1"/>
    </row>
    <row r="598" spans="6:7" x14ac:dyDescent="0.25">
      <c r="F598" s="7"/>
      <c r="G598" s="1"/>
    </row>
    <row r="599" spans="6:7" x14ac:dyDescent="0.25">
      <c r="F599" s="7"/>
      <c r="G599" s="1"/>
    </row>
    <row r="600" spans="6:7" x14ac:dyDescent="0.25">
      <c r="F600" s="7"/>
      <c r="G600" s="1"/>
    </row>
    <row r="601" spans="6:7" x14ac:dyDescent="0.25">
      <c r="F601" s="7"/>
      <c r="G601" s="1"/>
    </row>
    <row r="602" spans="6:7" x14ac:dyDescent="0.25">
      <c r="F602" s="7"/>
      <c r="G602" s="1"/>
    </row>
    <row r="603" spans="6:7" x14ac:dyDescent="0.25">
      <c r="F603" s="7"/>
      <c r="G603" s="1"/>
    </row>
    <row r="604" spans="6:7" x14ac:dyDescent="0.25">
      <c r="F604" s="7"/>
      <c r="G604" s="1"/>
    </row>
    <row r="605" spans="6:7" x14ac:dyDescent="0.25">
      <c r="F605" s="7"/>
      <c r="G605" s="1"/>
    </row>
    <row r="606" spans="6:7" x14ac:dyDescent="0.25">
      <c r="F606" s="7"/>
      <c r="G606" s="1"/>
    </row>
    <row r="607" spans="6:7" x14ac:dyDescent="0.25">
      <c r="F607" s="7"/>
      <c r="G607" s="1"/>
    </row>
    <row r="608" spans="6:7" x14ac:dyDescent="0.25">
      <c r="F608" s="7"/>
      <c r="G608" s="1"/>
    </row>
    <row r="609" spans="6:7" x14ac:dyDescent="0.25">
      <c r="F609" s="7"/>
      <c r="G609" s="1"/>
    </row>
    <row r="610" spans="6:7" x14ac:dyDescent="0.25">
      <c r="F610" s="7"/>
      <c r="G610" s="1"/>
    </row>
    <row r="611" spans="6:7" x14ac:dyDescent="0.25">
      <c r="F611" s="7"/>
      <c r="G611" s="1"/>
    </row>
    <row r="612" spans="6:7" x14ac:dyDescent="0.25">
      <c r="F612" s="7"/>
      <c r="G612" s="1"/>
    </row>
    <row r="613" spans="6:7" x14ac:dyDescent="0.25">
      <c r="F613" s="7"/>
      <c r="G613" s="1"/>
    </row>
    <row r="614" spans="6:7" x14ac:dyDescent="0.25">
      <c r="F614" s="7"/>
      <c r="G614" s="1"/>
    </row>
    <row r="615" spans="6:7" x14ac:dyDescent="0.25">
      <c r="F615" s="7"/>
      <c r="G615" s="1"/>
    </row>
    <row r="616" spans="6:7" x14ac:dyDescent="0.25">
      <c r="F616" s="7"/>
      <c r="G616" s="1"/>
    </row>
    <row r="617" spans="6:7" x14ac:dyDescent="0.25">
      <c r="F617" s="7"/>
      <c r="G617" s="1"/>
    </row>
    <row r="618" spans="6:7" x14ac:dyDescent="0.25">
      <c r="F618" s="7"/>
      <c r="G618" s="1"/>
    </row>
    <row r="619" spans="6:7" x14ac:dyDescent="0.25">
      <c r="F619" s="7"/>
      <c r="G619" s="1"/>
    </row>
    <row r="620" spans="6:7" x14ac:dyDescent="0.25">
      <c r="F620" s="7"/>
      <c r="G620" s="1"/>
    </row>
    <row r="621" spans="6:7" x14ac:dyDescent="0.25">
      <c r="F621" s="7"/>
      <c r="G621" s="1"/>
    </row>
    <row r="622" spans="6:7" x14ac:dyDescent="0.25">
      <c r="F622" s="7"/>
      <c r="G622" s="1"/>
    </row>
    <row r="623" spans="6:7" x14ac:dyDescent="0.25">
      <c r="F623" s="7"/>
      <c r="G623" s="1"/>
    </row>
    <row r="624" spans="6:7" x14ac:dyDescent="0.25">
      <c r="F624" s="7"/>
      <c r="G624" s="1"/>
    </row>
    <row r="625" spans="6:7" x14ac:dyDescent="0.25">
      <c r="F625" s="7"/>
      <c r="G625" s="1"/>
    </row>
    <row r="626" spans="6:7" x14ac:dyDescent="0.25">
      <c r="F626" s="7"/>
      <c r="G626" s="1"/>
    </row>
    <row r="627" spans="6:7" x14ac:dyDescent="0.25">
      <c r="F627" s="7"/>
      <c r="G627" s="1"/>
    </row>
    <row r="628" spans="6:7" x14ac:dyDescent="0.25">
      <c r="F628" s="7"/>
      <c r="G628" s="1"/>
    </row>
    <row r="629" spans="6:7" x14ac:dyDescent="0.25">
      <c r="F629" s="7"/>
      <c r="G629" s="1"/>
    </row>
    <row r="630" spans="6:7" x14ac:dyDescent="0.25">
      <c r="F630" s="7"/>
      <c r="G630" s="1"/>
    </row>
    <row r="631" spans="6:7" x14ac:dyDescent="0.25">
      <c r="F631" s="7"/>
      <c r="G631" s="1"/>
    </row>
    <row r="632" spans="6:7" x14ac:dyDescent="0.25">
      <c r="F632" s="7"/>
      <c r="G632" s="1"/>
    </row>
    <row r="633" spans="6:7" x14ac:dyDescent="0.25">
      <c r="F633" s="7"/>
      <c r="G633" s="1"/>
    </row>
    <row r="634" spans="6:7" x14ac:dyDescent="0.25">
      <c r="F634" s="7"/>
      <c r="G634" s="1"/>
    </row>
    <row r="635" spans="6:7" x14ac:dyDescent="0.25">
      <c r="F635" s="7"/>
      <c r="G635" s="1"/>
    </row>
    <row r="636" spans="6:7" x14ac:dyDescent="0.25">
      <c r="F636" s="7"/>
      <c r="G636" s="1"/>
    </row>
    <row r="637" spans="6:7" x14ac:dyDescent="0.25">
      <c r="F637" s="7"/>
      <c r="G637" s="1"/>
    </row>
    <row r="638" spans="6:7" x14ac:dyDescent="0.25">
      <c r="F638" s="7"/>
      <c r="G638" s="1"/>
    </row>
    <row r="639" spans="6:7" x14ac:dyDescent="0.25">
      <c r="F639" s="7"/>
      <c r="G639" s="1"/>
    </row>
    <row r="640" spans="6:7" x14ac:dyDescent="0.25">
      <c r="F640" s="7"/>
      <c r="G640" s="1"/>
    </row>
    <row r="641" spans="6:7" x14ac:dyDescent="0.25">
      <c r="F641" s="7"/>
      <c r="G641" s="1"/>
    </row>
    <row r="642" spans="6:7" x14ac:dyDescent="0.25">
      <c r="F642" s="7"/>
      <c r="G642" s="1"/>
    </row>
    <row r="643" spans="6:7" x14ac:dyDescent="0.25">
      <c r="F643" s="7"/>
      <c r="G643" s="1"/>
    </row>
    <row r="644" spans="6:7" x14ac:dyDescent="0.25">
      <c r="F644" s="7"/>
      <c r="G644" s="1"/>
    </row>
    <row r="645" spans="6:7" x14ac:dyDescent="0.25">
      <c r="F645" s="7"/>
      <c r="G645" s="1"/>
    </row>
    <row r="646" spans="6:7" x14ac:dyDescent="0.25">
      <c r="F646" s="7"/>
      <c r="G646" s="1"/>
    </row>
    <row r="647" spans="6:7" x14ac:dyDescent="0.25">
      <c r="F647" s="7"/>
      <c r="G647" s="1"/>
    </row>
    <row r="648" spans="6:7" x14ac:dyDescent="0.25">
      <c r="F648" s="7"/>
      <c r="G648" s="1"/>
    </row>
    <row r="649" spans="6:7" x14ac:dyDescent="0.25">
      <c r="F649" s="7"/>
      <c r="G649" s="1"/>
    </row>
    <row r="650" spans="6:7" x14ac:dyDescent="0.25">
      <c r="F650" s="7"/>
      <c r="G650" s="1"/>
    </row>
    <row r="651" spans="6:7" x14ac:dyDescent="0.25">
      <c r="F651" s="7"/>
      <c r="G651" s="1"/>
    </row>
    <row r="652" spans="6:7" x14ac:dyDescent="0.25">
      <c r="F652" s="7"/>
      <c r="G652" s="1"/>
    </row>
    <row r="653" spans="6:7" x14ac:dyDescent="0.25">
      <c r="F653" s="7"/>
      <c r="G653" s="1"/>
    </row>
    <row r="654" spans="6:7" x14ac:dyDescent="0.25">
      <c r="F654" s="7"/>
      <c r="G654" s="1"/>
    </row>
    <row r="655" spans="6:7" x14ac:dyDescent="0.25">
      <c r="F655" s="7"/>
      <c r="G655" s="1"/>
    </row>
    <row r="656" spans="6:7" x14ac:dyDescent="0.25">
      <c r="F656" s="7"/>
      <c r="G656" s="1"/>
    </row>
    <row r="657" spans="6:7" x14ac:dyDescent="0.25">
      <c r="F657" s="7"/>
      <c r="G657" s="1"/>
    </row>
    <row r="658" spans="6:7" x14ac:dyDescent="0.25">
      <c r="F658" s="7"/>
      <c r="G658" s="1"/>
    </row>
    <row r="659" spans="6:7" x14ac:dyDescent="0.25">
      <c r="F659" s="7"/>
      <c r="G659" s="1"/>
    </row>
    <row r="660" spans="6:7" x14ac:dyDescent="0.25">
      <c r="F660" s="7"/>
      <c r="G660" s="1"/>
    </row>
    <row r="661" spans="6:7" x14ac:dyDescent="0.25">
      <c r="F661" s="7"/>
      <c r="G661" s="1"/>
    </row>
    <row r="662" spans="6:7" x14ac:dyDescent="0.25">
      <c r="F662" s="7"/>
      <c r="G662" s="1"/>
    </row>
    <row r="663" spans="6:7" x14ac:dyDescent="0.25">
      <c r="F663" s="7"/>
      <c r="G663" s="1"/>
    </row>
    <row r="664" spans="6:7" x14ac:dyDescent="0.25">
      <c r="F664" s="7"/>
      <c r="G664" s="1"/>
    </row>
    <row r="665" spans="6:7" x14ac:dyDescent="0.25">
      <c r="F665" s="7"/>
      <c r="G665" s="1"/>
    </row>
    <row r="666" spans="6:7" x14ac:dyDescent="0.25">
      <c r="F666" s="7"/>
      <c r="G666" s="1"/>
    </row>
    <row r="667" spans="6:7" x14ac:dyDescent="0.25">
      <c r="F667" s="7"/>
      <c r="G667" s="1"/>
    </row>
    <row r="668" spans="6:7" x14ac:dyDescent="0.25">
      <c r="F668" s="7"/>
      <c r="G668" s="1"/>
    </row>
    <row r="669" spans="6:7" x14ac:dyDescent="0.25">
      <c r="F669" s="7"/>
      <c r="G669" s="1"/>
    </row>
    <row r="670" spans="6:7" x14ac:dyDescent="0.25">
      <c r="F670" s="7"/>
      <c r="G670" s="1"/>
    </row>
    <row r="671" spans="6:7" x14ac:dyDescent="0.25">
      <c r="F671" s="7"/>
      <c r="G671" s="1"/>
    </row>
    <row r="672" spans="6:7" x14ac:dyDescent="0.25">
      <c r="F672" s="7"/>
      <c r="G672" s="1"/>
    </row>
    <row r="673" spans="6:7" x14ac:dyDescent="0.25">
      <c r="F673" s="7"/>
      <c r="G673" s="1"/>
    </row>
    <row r="674" spans="6:7" x14ac:dyDescent="0.25">
      <c r="F674" s="7"/>
      <c r="G674" s="1"/>
    </row>
    <row r="675" spans="6:7" x14ac:dyDescent="0.25">
      <c r="F675" s="7"/>
      <c r="G675" s="1"/>
    </row>
    <row r="676" spans="6:7" x14ac:dyDescent="0.25">
      <c r="F676" s="7"/>
      <c r="G676" s="1"/>
    </row>
    <row r="677" spans="6:7" x14ac:dyDescent="0.25">
      <c r="F677" s="7"/>
      <c r="G677" s="1"/>
    </row>
    <row r="678" spans="6:7" x14ac:dyDescent="0.25">
      <c r="F678" s="7"/>
      <c r="G678" s="1"/>
    </row>
    <row r="679" spans="6:7" x14ac:dyDescent="0.25">
      <c r="F679" s="7"/>
      <c r="G679" s="1"/>
    </row>
    <row r="680" spans="6:7" x14ac:dyDescent="0.25">
      <c r="F680" s="7"/>
      <c r="G680" s="1"/>
    </row>
    <row r="681" spans="6:7" x14ac:dyDescent="0.25">
      <c r="F681" s="7"/>
      <c r="G681" s="1"/>
    </row>
    <row r="682" spans="6:7" x14ac:dyDescent="0.25">
      <c r="F682" s="7"/>
      <c r="G682" s="1"/>
    </row>
    <row r="683" spans="6:7" x14ac:dyDescent="0.25">
      <c r="F683" s="7"/>
      <c r="G683" s="1"/>
    </row>
    <row r="684" spans="6:7" x14ac:dyDescent="0.25">
      <c r="F684" s="7"/>
      <c r="G684" s="1"/>
    </row>
    <row r="685" spans="6:7" x14ac:dyDescent="0.25">
      <c r="F685" s="7"/>
      <c r="G685" s="1"/>
    </row>
    <row r="686" spans="6:7" x14ac:dyDescent="0.25">
      <c r="F686" s="7"/>
      <c r="G686" s="1"/>
    </row>
    <row r="687" spans="6:7" x14ac:dyDescent="0.25">
      <c r="F687" s="7"/>
      <c r="G687" s="1"/>
    </row>
    <row r="688" spans="6:7" x14ac:dyDescent="0.25">
      <c r="F688" s="7"/>
      <c r="G688" s="1"/>
    </row>
    <row r="689" spans="6:7" x14ac:dyDescent="0.25">
      <c r="F689" s="7"/>
      <c r="G689" s="1"/>
    </row>
    <row r="690" spans="6:7" x14ac:dyDescent="0.25">
      <c r="F690" s="7"/>
      <c r="G690" s="1"/>
    </row>
    <row r="691" spans="6:7" x14ac:dyDescent="0.25">
      <c r="F691" s="7"/>
      <c r="G691" s="1"/>
    </row>
    <row r="692" spans="6:7" x14ac:dyDescent="0.25">
      <c r="F692" s="7"/>
      <c r="G692" s="1"/>
    </row>
    <row r="693" spans="6:7" x14ac:dyDescent="0.25">
      <c r="F693" s="7"/>
      <c r="G693" s="1"/>
    </row>
    <row r="694" spans="6:7" x14ac:dyDescent="0.25">
      <c r="F694" s="7"/>
      <c r="G694" s="1"/>
    </row>
    <row r="695" spans="6:7" x14ac:dyDescent="0.25">
      <c r="F695" s="7"/>
      <c r="G695" s="1"/>
    </row>
    <row r="696" spans="6:7" x14ac:dyDescent="0.25">
      <c r="F696" s="7"/>
      <c r="G696" s="1"/>
    </row>
    <row r="697" spans="6:7" x14ac:dyDescent="0.25">
      <c r="F697" s="7"/>
      <c r="G697" s="1"/>
    </row>
    <row r="698" spans="6:7" x14ac:dyDescent="0.25">
      <c r="F698" s="7"/>
      <c r="G698" s="1"/>
    </row>
    <row r="699" spans="6:7" x14ac:dyDescent="0.25">
      <c r="F699" s="7"/>
      <c r="G699" s="1"/>
    </row>
    <row r="700" spans="6:7" x14ac:dyDescent="0.25">
      <c r="F700" s="7"/>
      <c r="G700" s="1"/>
    </row>
    <row r="701" spans="6:7" x14ac:dyDescent="0.25">
      <c r="F701" s="7"/>
      <c r="G701" s="1"/>
    </row>
    <row r="702" spans="6:7" x14ac:dyDescent="0.25">
      <c r="F702" s="7"/>
      <c r="G702" s="1"/>
    </row>
    <row r="703" spans="6:7" x14ac:dyDescent="0.25">
      <c r="F703" s="7"/>
      <c r="G703" s="1"/>
    </row>
    <row r="704" spans="6:7" x14ac:dyDescent="0.25">
      <c r="F704" s="7"/>
      <c r="G704" s="1"/>
    </row>
    <row r="705" spans="6:7" x14ac:dyDescent="0.25">
      <c r="F705" s="7"/>
      <c r="G705" s="1"/>
    </row>
    <row r="706" spans="6:7" x14ac:dyDescent="0.25">
      <c r="F706" s="7"/>
      <c r="G706" s="1"/>
    </row>
    <row r="707" spans="6:7" x14ac:dyDescent="0.25">
      <c r="F707" s="7"/>
      <c r="G707" s="1"/>
    </row>
    <row r="708" spans="6:7" x14ac:dyDescent="0.25">
      <c r="F708" s="7"/>
      <c r="G708" s="1"/>
    </row>
    <row r="709" spans="6:7" x14ac:dyDescent="0.25">
      <c r="F709" s="7"/>
      <c r="G709" s="1"/>
    </row>
    <row r="710" spans="6:7" x14ac:dyDescent="0.25">
      <c r="F710" s="7"/>
      <c r="G710" s="1"/>
    </row>
    <row r="711" spans="6:7" x14ac:dyDescent="0.25">
      <c r="F711" s="7"/>
      <c r="G711" s="1"/>
    </row>
    <row r="712" spans="6:7" x14ac:dyDescent="0.25">
      <c r="F712" s="7"/>
      <c r="G712" s="1"/>
    </row>
    <row r="713" spans="6:7" x14ac:dyDescent="0.25">
      <c r="F713" s="7"/>
      <c r="G713" s="1"/>
    </row>
    <row r="714" spans="6:7" x14ac:dyDescent="0.25">
      <c r="F714" s="7"/>
      <c r="G714" s="1"/>
    </row>
    <row r="715" spans="6:7" x14ac:dyDescent="0.25">
      <c r="F715" s="7"/>
      <c r="G715" s="1"/>
    </row>
    <row r="716" spans="6:7" x14ac:dyDescent="0.25">
      <c r="F716" s="7"/>
      <c r="G716" s="1"/>
    </row>
    <row r="717" spans="6:7" x14ac:dyDescent="0.25">
      <c r="F717" s="7"/>
      <c r="G717" s="1"/>
    </row>
    <row r="718" spans="6:7" x14ac:dyDescent="0.25">
      <c r="F718" s="7"/>
      <c r="G718" s="1"/>
    </row>
    <row r="719" spans="6:7" x14ac:dyDescent="0.25">
      <c r="F719" s="7"/>
      <c r="G719" s="1"/>
    </row>
    <row r="720" spans="6:7" x14ac:dyDescent="0.25">
      <c r="F720" s="7"/>
      <c r="G720" s="1"/>
    </row>
    <row r="721" spans="6:7" x14ac:dyDescent="0.25">
      <c r="F721" s="7"/>
      <c r="G721" s="1"/>
    </row>
    <row r="722" spans="6:7" x14ac:dyDescent="0.25">
      <c r="F722" s="7"/>
      <c r="G722" s="1"/>
    </row>
    <row r="723" spans="6:7" x14ac:dyDescent="0.25">
      <c r="F723" s="7"/>
      <c r="G723" s="1"/>
    </row>
    <row r="724" spans="6:7" x14ac:dyDescent="0.25">
      <c r="F724" s="7"/>
      <c r="G724" s="1"/>
    </row>
    <row r="725" spans="6:7" x14ac:dyDescent="0.25">
      <c r="F725" s="7"/>
      <c r="G725" s="1"/>
    </row>
    <row r="726" spans="6:7" x14ac:dyDescent="0.25">
      <c r="F726" s="7"/>
      <c r="G726" s="1"/>
    </row>
    <row r="727" spans="6:7" x14ac:dyDescent="0.25">
      <c r="F727" s="7"/>
      <c r="G727" s="1"/>
    </row>
    <row r="728" spans="6:7" x14ac:dyDescent="0.25">
      <c r="F728" s="7"/>
      <c r="G728" s="1"/>
    </row>
    <row r="729" spans="6:7" x14ac:dyDescent="0.25">
      <c r="F729" s="7"/>
      <c r="G729" s="1"/>
    </row>
    <row r="730" spans="6:7" x14ac:dyDescent="0.25">
      <c r="F730" s="7"/>
      <c r="G730" s="1"/>
    </row>
    <row r="731" spans="6:7" x14ac:dyDescent="0.25">
      <c r="F731" s="7"/>
      <c r="G731" s="1"/>
    </row>
    <row r="732" spans="6:7" x14ac:dyDescent="0.25">
      <c r="F732" s="7"/>
      <c r="G732" s="1"/>
    </row>
    <row r="733" spans="6:7" x14ac:dyDescent="0.25">
      <c r="F733" s="7"/>
      <c r="G733" s="1"/>
    </row>
    <row r="734" spans="6:7" x14ac:dyDescent="0.25">
      <c r="F734" s="7"/>
      <c r="G734" s="1"/>
    </row>
    <row r="735" spans="6:7" x14ac:dyDescent="0.25">
      <c r="F735" s="7"/>
      <c r="G735" s="1"/>
    </row>
    <row r="736" spans="6:7" x14ac:dyDescent="0.25">
      <c r="F736" s="7"/>
      <c r="G736" s="1"/>
    </row>
    <row r="737" spans="6:7" x14ac:dyDescent="0.25">
      <c r="F737" s="7"/>
      <c r="G737" s="1"/>
    </row>
    <row r="738" spans="6:7" x14ac:dyDescent="0.25">
      <c r="F738" s="7"/>
      <c r="G738" s="1"/>
    </row>
    <row r="739" spans="6:7" x14ac:dyDescent="0.25">
      <c r="F739" s="7"/>
      <c r="G739" s="1"/>
    </row>
    <row r="740" spans="6:7" x14ac:dyDescent="0.25">
      <c r="F740" s="7"/>
      <c r="G740" s="1"/>
    </row>
    <row r="741" spans="6:7" x14ac:dyDescent="0.25">
      <c r="F741" s="7"/>
      <c r="G741" s="1"/>
    </row>
    <row r="742" spans="6:7" x14ac:dyDescent="0.25">
      <c r="F742" s="7"/>
      <c r="G742" s="1"/>
    </row>
    <row r="743" spans="6:7" x14ac:dyDescent="0.25">
      <c r="F743" s="7"/>
      <c r="G743" s="1"/>
    </row>
    <row r="744" spans="6:7" x14ac:dyDescent="0.25">
      <c r="F744" s="7"/>
      <c r="G744" s="1"/>
    </row>
    <row r="745" spans="6:7" x14ac:dyDescent="0.25">
      <c r="F745" s="7"/>
      <c r="G745" s="1"/>
    </row>
    <row r="746" spans="6:7" x14ac:dyDescent="0.25">
      <c r="F746" s="7"/>
      <c r="G746" s="1"/>
    </row>
    <row r="747" spans="6:7" x14ac:dyDescent="0.25">
      <c r="F747" s="7"/>
      <c r="G747" s="1"/>
    </row>
    <row r="748" spans="6:7" x14ac:dyDescent="0.25">
      <c r="F748" s="7"/>
      <c r="G748" s="1"/>
    </row>
    <row r="749" spans="6:7" x14ac:dyDescent="0.25">
      <c r="F749" s="7"/>
      <c r="G749" s="1"/>
    </row>
    <row r="750" spans="6:7" x14ac:dyDescent="0.25">
      <c r="F750" s="7"/>
      <c r="G750" s="1"/>
    </row>
    <row r="751" spans="6:7" x14ac:dyDescent="0.25">
      <c r="F751" s="7"/>
      <c r="G751" s="1"/>
    </row>
    <row r="752" spans="6:7" x14ac:dyDescent="0.25">
      <c r="F752" s="7"/>
      <c r="G752" s="1"/>
    </row>
    <row r="753" spans="6:7" x14ac:dyDescent="0.25">
      <c r="F753" s="7"/>
      <c r="G753" s="1"/>
    </row>
    <row r="754" spans="6:7" x14ac:dyDescent="0.25">
      <c r="F754" s="7"/>
      <c r="G754" s="1"/>
    </row>
    <row r="755" spans="6:7" x14ac:dyDescent="0.25">
      <c r="F755" s="7"/>
      <c r="G755" s="1"/>
    </row>
    <row r="756" spans="6:7" x14ac:dyDescent="0.25">
      <c r="F756" s="7"/>
      <c r="G756" s="1"/>
    </row>
    <row r="757" spans="6:7" x14ac:dyDescent="0.25">
      <c r="F757" s="7"/>
      <c r="G757" s="1"/>
    </row>
    <row r="758" spans="6:7" x14ac:dyDescent="0.25">
      <c r="F758" s="7"/>
      <c r="G758" s="1"/>
    </row>
    <row r="759" spans="6:7" x14ac:dyDescent="0.25">
      <c r="F759" s="7"/>
      <c r="G759" s="1"/>
    </row>
    <row r="760" spans="6:7" x14ac:dyDescent="0.25">
      <c r="F760" s="7"/>
      <c r="G760" s="1"/>
    </row>
    <row r="761" spans="6:7" x14ac:dyDescent="0.25">
      <c r="F761" s="7"/>
      <c r="G761" s="1"/>
    </row>
    <row r="762" spans="6:7" x14ac:dyDescent="0.25">
      <c r="F762" s="7"/>
      <c r="G762" s="1"/>
    </row>
    <row r="763" spans="6:7" x14ac:dyDescent="0.25">
      <c r="F763" s="7"/>
      <c r="G763" s="1"/>
    </row>
    <row r="764" spans="6:7" x14ac:dyDescent="0.25">
      <c r="F764" s="7"/>
      <c r="G764" s="1"/>
    </row>
    <row r="765" spans="6:7" x14ac:dyDescent="0.25">
      <c r="F765" s="7"/>
      <c r="G765" s="1"/>
    </row>
    <row r="766" spans="6:7" x14ac:dyDescent="0.25">
      <c r="F766" s="7"/>
      <c r="G766" s="1"/>
    </row>
    <row r="767" spans="6:7" x14ac:dyDescent="0.25">
      <c r="F767" s="7"/>
      <c r="G767" s="1"/>
    </row>
    <row r="768" spans="6:7" x14ac:dyDescent="0.25">
      <c r="F768" s="7"/>
      <c r="G768" s="1"/>
    </row>
    <row r="769" spans="6:7" x14ac:dyDescent="0.25">
      <c r="F769" s="7"/>
      <c r="G769" s="1"/>
    </row>
    <row r="770" spans="6:7" x14ac:dyDescent="0.25">
      <c r="F770" s="7"/>
      <c r="G770" s="1"/>
    </row>
    <row r="771" spans="6:7" x14ac:dyDescent="0.25">
      <c r="F771" s="7"/>
      <c r="G771" s="1"/>
    </row>
    <row r="772" spans="6:7" x14ac:dyDescent="0.25">
      <c r="F772" s="7"/>
      <c r="G772" s="1"/>
    </row>
    <row r="773" spans="6:7" x14ac:dyDescent="0.25">
      <c r="F773" s="7"/>
      <c r="G773" s="1"/>
    </row>
    <row r="774" spans="6:7" x14ac:dyDescent="0.25">
      <c r="F774" s="7"/>
      <c r="G774" s="1"/>
    </row>
    <row r="775" spans="6:7" x14ac:dyDescent="0.25">
      <c r="F775" s="7"/>
      <c r="G775" s="1"/>
    </row>
    <row r="776" spans="6:7" x14ac:dyDescent="0.25">
      <c r="F776" s="7"/>
      <c r="G776" s="1"/>
    </row>
    <row r="777" spans="6:7" x14ac:dyDescent="0.25">
      <c r="F777" s="7"/>
      <c r="G777" s="1"/>
    </row>
    <row r="778" spans="6:7" x14ac:dyDescent="0.25">
      <c r="F778" s="7"/>
      <c r="G778" s="1"/>
    </row>
    <row r="779" spans="6:7" x14ac:dyDescent="0.25">
      <c r="F779" s="7"/>
      <c r="G779" s="1"/>
    </row>
    <row r="780" spans="6:7" x14ac:dyDescent="0.25">
      <c r="F780" s="7"/>
      <c r="G780" s="1"/>
    </row>
    <row r="781" spans="6:7" x14ac:dyDescent="0.25">
      <c r="F781" s="7"/>
      <c r="G781" s="1"/>
    </row>
    <row r="782" spans="6:7" x14ac:dyDescent="0.25">
      <c r="F782" s="7"/>
      <c r="G782" s="1"/>
    </row>
    <row r="783" spans="6:7" x14ac:dyDescent="0.25">
      <c r="F783" s="7"/>
      <c r="G783" s="1"/>
    </row>
    <row r="784" spans="6:7" x14ac:dyDescent="0.25">
      <c r="F784" s="7"/>
      <c r="G784" s="1"/>
    </row>
    <row r="785" spans="6:7" x14ac:dyDescent="0.25">
      <c r="F785" s="7"/>
      <c r="G785" s="1"/>
    </row>
    <row r="786" spans="6:7" x14ac:dyDescent="0.25">
      <c r="F786" s="7"/>
      <c r="G786" s="1"/>
    </row>
    <row r="787" spans="6:7" x14ac:dyDescent="0.25">
      <c r="F787" s="7"/>
      <c r="G787" s="1"/>
    </row>
    <row r="788" spans="6:7" x14ac:dyDescent="0.25">
      <c r="F788" s="7"/>
      <c r="G788" s="1"/>
    </row>
    <row r="789" spans="6:7" x14ac:dyDescent="0.25">
      <c r="F789" s="7"/>
      <c r="G789" s="1"/>
    </row>
    <row r="790" spans="6:7" x14ac:dyDescent="0.25">
      <c r="F790" s="7"/>
      <c r="G790" s="1"/>
    </row>
    <row r="791" spans="6:7" x14ac:dyDescent="0.25">
      <c r="F791" s="7"/>
      <c r="G791" s="1"/>
    </row>
    <row r="792" spans="6:7" x14ac:dyDescent="0.25">
      <c r="F792" s="7"/>
      <c r="G792" s="1"/>
    </row>
    <row r="793" spans="6:7" x14ac:dyDescent="0.25">
      <c r="F793" s="7"/>
      <c r="G793" s="1"/>
    </row>
    <row r="794" spans="6:7" x14ac:dyDescent="0.25">
      <c r="F794" s="7"/>
      <c r="G794" s="1"/>
    </row>
    <row r="795" spans="6:7" x14ac:dyDescent="0.25">
      <c r="F795" s="7"/>
      <c r="G795" s="1"/>
    </row>
    <row r="796" spans="6:7" x14ac:dyDescent="0.25">
      <c r="F796" s="7"/>
      <c r="G796" s="1"/>
    </row>
    <row r="797" spans="6:7" x14ac:dyDescent="0.25">
      <c r="F797" s="7"/>
      <c r="G797" s="1"/>
    </row>
    <row r="798" spans="6:7" x14ac:dyDescent="0.25">
      <c r="F798" s="7"/>
      <c r="G798" s="1"/>
    </row>
    <row r="799" spans="6:7" x14ac:dyDescent="0.25">
      <c r="F799" s="7"/>
      <c r="G799" s="1"/>
    </row>
    <row r="800" spans="6:7" x14ac:dyDescent="0.25">
      <c r="F800" s="7"/>
      <c r="G800" s="1"/>
    </row>
    <row r="801" spans="6:7" x14ac:dyDescent="0.25">
      <c r="F801" s="7"/>
      <c r="G801" s="1"/>
    </row>
    <row r="802" spans="6:7" x14ac:dyDescent="0.25">
      <c r="F802" s="7"/>
      <c r="G802" s="1"/>
    </row>
    <row r="803" spans="6:7" x14ac:dyDescent="0.25">
      <c r="F803" s="7"/>
      <c r="G803" s="1"/>
    </row>
    <row r="804" spans="6:7" x14ac:dyDescent="0.25">
      <c r="F804" s="7"/>
      <c r="G804" s="1"/>
    </row>
    <row r="805" spans="6:7" x14ac:dyDescent="0.25">
      <c r="F805" s="7"/>
      <c r="G805" s="1"/>
    </row>
    <row r="806" spans="6:7" x14ac:dyDescent="0.25">
      <c r="F806" s="7"/>
      <c r="G806" s="1"/>
    </row>
    <row r="807" spans="6:7" x14ac:dyDescent="0.25">
      <c r="F807" s="7"/>
      <c r="G807" s="1"/>
    </row>
    <row r="808" spans="6:7" x14ac:dyDescent="0.25">
      <c r="F808" s="7"/>
      <c r="G808" s="1"/>
    </row>
    <row r="809" spans="6:7" x14ac:dyDescent="0.25">
      <c r="F809" s="7"/>
      <c r="G809" s="1"/>
    </row>
    <row r="810" spans="6:7" x14ac:dyDescent="0.25">
      <c r="F810" s="7"/>
      <c r="G810" s="1"/>
    </row>
    <row r="811" spans="6:7" x14ac:dyDescent="0.25">
      <c r="F811" s="7"/>
      <c r="G811" s="1"/>
    </row>
    <row r="812" spans="6:7" x14ac:dyDescent="0.25">
      <c r="F812" s="7"/>
      <c r="G812" s="1"/>
    </row>
    <row r="813" spans="6:7" x14ac:dyDescent="0.25">
      <c r="F813" s="7"/>
      <c r="G813" s="1"/>
    </row>
    <row r="814" spans="6:7" x14ac:dyDescent="0.25">
      <c r="F814" s="7"/>
      <c r="G814" s="1"/>
    </row>
    <row r="815" spans="6:7" x14ac:dyDescent="0.25">
      <c r="F815" s="7"/>
      <c r="G815" s="1"/>
    </row>
    <row r="816" spans="6:7" x14ac:dyDescent="0.25">
      <c r="F816" s="7"/>
      <c r="G816" s="1"/>
    </row>
    <row r="817" spans="6:7" x14ac:dyDescent="0.25">
      <c r="F817" s="7"/>
      <c r="G817" s="1"/>
    </row>
    <row r="818" spans="6:7" x14ac:dyDescent="0.25">
      <c r="F818" s="7"/>
      <c r="G818" s="1"/>
    </row>
    <row r="819" spans="6:7" x14ac:dyDescent="0.25">
      <c r="F819" s="7"/>
      <c r="G819" s="1"/>
    </row>
    <row r="820" spans="6:7" x14ac:dyDescent="0.25">
      <c r="F820" s="7"/>
      <c r="G820" s="1"/>
    </row>
    <row r="821" spans="6:7" x14ac:dyDescent="0.25">
      <c r="F821" s="7"/>
      <c r="G821" s="1"/>
    </row>
    <row r="822" spans="6:7" x14ac:dyDescent="0.25">
      <c r="F822" s="7"/>
      <c r="G822" s="1"/>
    </row>
    <row r="823" spans="6:7" x14ac:dyDescent="0.25">
      <c r="F823" s="7"/>
      <c r="G823" s="1"/>
    </row>
    <row r="824" spans="6:7" x14ac:dyDescent="0.25">
      <c r="F824" s="7"/>
      <c r="G824" s="1"/>
    </row>
    <row r="825" spans="6:7" x14ac:dyDescent="0.25">
      <c r="F825" s="7"/>
      <c r="G825" s="1"/>
    </row>
    <row r="826" spans="6:7" x14ac:dyDescent="0.25">
      <c r="F826" s="7"/>
      <c r="G826" s="1"/>
    </row>
    <row r="827" spans="6:7" x14ac:dyDescent="0.25">
      <c r="F827" s="7"/>
      <c r="G827" s="1"/>
    </row>
    <row r="828" spans="6:7" x14ac:dyDescent="0.25">
      <c r="F828" s="7"/>
      <c r="G828" s="1"/>
    </row>
    <row r="829" spans="6:7" x14ac:dyDescent="0.25">
      <c r="F829" s="7"/>
      <c r="G829" s="1"/>
    </row>
    <row r="830" spans="6:7" x14ac:dyDescent="0.25">
      <c r="F830" s="7"/>
      <c r="G830" s="1"/>
    </row>
    <row r="831" spans="6:7" x14ac:dyDescent="0.25">
      <c r="F831" s="7"/>
      <c r="G831" s="1"/>
    </row>
    <row r="832" spans="6:7" x14ac:dyDescent="0.25">
      <c r="F832" s="7"/>
      <c r="G832" s="1"/>
    </row>
    <row r="833" spans="6:7" x14ac:dyDescent="0.25">
      <c r="F833" s="7"/>
      <c r="G833" s="1"/>
    </row>
    <row r="834" spans="6:7" x14ac:dyDescent="0.25">
      <c r="F834" s="7"/>
      <c r="G834" s="1"/>
    </row>
    <row r="835" spans="6:7" x14ac:dyDescent="0.25">
      <c r="F835" s="7"/>
      <c r="G835" s="1"/>
    </row>
    <row r="836" spans="6:7" x14ac:dyDescent="0.25">
      <c r="F836" s="7"/>
      <c r="G836" s="1"/>
    </row>
    <row r="837" spans="6:7" x14ac:dyDescent="0.25">
      <c r="F837" s="7"/>
      <c r="G837" s="1"/>
    </row>
    <row r="838" spans="6:7" x14ac:dyDescent="0.25">
      <c r="F838" s="7"/>
      <c r="G838" s="1"/>
    </row>
    <row r="839" spans="6:7" x14ac:dyDescent="0.25">
      <c r="F839" s="7"/>
      <c r="G839" s="1"/>
    </row>
    <row r="840" spans="6:7" x14ac:dyDescent="0.25">
      <c r="F840" s="7"/>
      <c r="G840" s="1"/>
    </row>
    <row r="841" spans="6:7" x14ac:dyDescent="0.25">
      <c r="F841" s="7"/>
      <c r="G841" s="1"/>
    </row>
    <row r="842" spans="6:7" x14ac:dyDescent="0.25">
      <c r="F842" s="7"/>
      <c r="G842" s="1"/>
    </row>
    <row r="843" spans="6:7" x14ac:dyDescent="0.25">
      <c r="F843" s="7"/>
      <c r="G843" s="1"/>
    </row>
    <row r="844" spans="6:7" x14ac:dyDescent="0.25">
      <c r="F844" s="7"/>
      <c r="G844" s="1"/>
    </row>
    <row r="845" spans="6:7" x14ac:dyDescent="0.25">
      <c r="F845" s="7"/>
      <c r="G845" s="1"/>
    </row>
    <row r="846" spans="6:7" x14ac:dyDescent="0.25">
      <c r="F846" s="7"/>
      <c r="G846" s="1"/>
    </row>
    <row r="847" spans="6:7" x14ac:dyDescent="0.25">
      <c r="F847" s="7"/>
      <c r="G847" s="1"/>
    </row>
    <row r="848" spans="6:7" x14ac:dyDescent="0.25">
      <c r="F848" s="7"/>
      <c r="G848" s="1"/>
    </row>
    <row r="849" spans="6:7" x14ac:dyDescent="0.25">
      <c r="F849" s="7"/>
      <c r="G849" s="1"/>
    </row>
    <row r="850" spans="6:7" x14ac:dyDescent="0.25">
      <c r="F850" s="7"/>
      <c r="G850" s="1"/>
    </row>
    <row r="851" spans="6:7" x14ac:dyDescent="0.25">
      <c r="F851" s="7"/>
      <c r="G851" s="1"/>
    </row>
    <row r="852" spans="6:7" x14ac:dyDescent="0.25">
      <c r="F852" s="7"/>
      <c r="G852" s="1"/>
    </row>
    <row r="853" spans="6:7" x14ac:dyDescent="0.25">
      <c r="F853" s="7"/>
      <c r="G853" s="1"/>
    </row>
    <row r="854" spans="6:7" x14ac:dyDescent="0.25">
      <c r="F854" s="7"/>
      <c r="G854" s="1"/>
    </row>
    <row r="855" spans="6:7" x14ac:dyDescent="0.25">
      <c r="F855" s="7"/>
      <c r="G855" s="1"/>
    </row>
    <row r="856" spans="6:7" x14ac:dyDescent="0.25">
      <c r="F856" s="7"/>
      <c r="G856" s="1"/>
    </row>
    <row r="857" spans="6:7" x14ac:dyDescent="0.25">
      <c r="F857" s="7"/>
      <c r="G857" s="1"/>
    </row>
    <row r="858" spans="6:7" x14ac:dyDescent="0.25">
      <c r="F858" s="7"/>
      <c r="G858" s="1"/>
    </row>
    <row r="859" spans="6:7" x14ac:dyDescent="0.25">
      <c r="F859" s="7"/>
      <c r="G859" s="1"/>
    </row>
    <row r="860" spans="6:7" x14ac:dyDescent="0.25">
      <c r="F860" s="7"/>
      <c r="G860" s="1"/>
    </row>
    <row r="861" spans="6:7" x14ac:dyDescent="0.25">
      <c r="F861" s="7"/>
      <c r="G861" s="1"/>
    </row>
    <row r="862" spans="6:7" x14ac:dyDescent="0.25">
      <c r="F862" s="7"/>
      <c r="G862" s="1"/>
    </row>
    <row r="863" spans="6:7" x14ac:dyDescent="0.25">
      <c r="F863" s="7"/>
      <c r="G863" s="1"/>
    </row>
    <row r="864" spans="6:7" x14ac:dyDescent="0.25">
      <c r="F864" s="7"/>
      <c r="G864" s="1"/>
    </row>
    <row r="865" spans="6:7" x14ac:dyDescent="0.25">
      <c r="F865" s="7"/>
      <c r="G865" s="1"/>
    </row>
    <row r="866" spans="6:7" x14ac:dyDescent="0.25">
      <c r="F866" s="7"/>
      <c r="G866" s="1"/>
    </row>
    <row r="867" spans="6:7" x14ac:dyDescent="0.25">
      <c r="F867" s="7"/>
      <c r="G867" s="1"/>
    </row>
    <row r="868" spans="6:7" x14ac:dyDescent="0.25">
      <c r="F868" s="7"/>
      <c r="G868" s="1"/>
    </row>
    <row r="869" spans="6:7" x14ac:dyDescent="0.25">
      <c r="F869" s="7"/>
      <c r="G869" s="1"/>
    </row>
    <row r="870" spans="6:7" x14ac:dyDescent="0.25">
      <c r="F870" s="7"/>
      <c r="G870" s="1"/>
    </row>
    <row r="871" spans="6:7" x14ac:dyDescent="0.25">
      <c r="F871" s="7"/>
      <c r="G871" s="1"/>
    </row>
    <row r="872" spans="6:7" x14ac:dyDescent="0.25">
      <c r="F872" s="7"/>
      <c r="G872" s="1"/>
    </row>
    <row r="873" spans="6:7" x14ac:dyDescent="0.25">
      <c r="F873" s="7"/>
      <c r="G873" s="1"/>
    </row>
    <row r="874" spans="6:7" x14ac:dyDescent="0.25">
      <c r="F874" s="7"/>
      <c r="G874" s="1"/>
    </row>
    <row r="875" spans="6:7" x14ac:dyDescent="0.25">
      <c r="F875" s="7"/>
      <c r="G875" s="1"/>
    </row>
    <row r="876" spans="6:7" x14ac:dyDescent="0.25">
      <c r="F876" s="7"/>
      <c r="G876" s="1"/>
    </row>
    <row r="877" spans="6:7" x14ac:dyDescent="0.25">
      <c r="F877" s="7"/>
      <c r="G877" s="1"/>
    </row>
    <row r="878" spans="6:7" x14ac:dyDescent="0.25">
      <c r="F878" s="7"/>
      <c r="G878" s="1"/>
    </row>
    <row r="879" spans="6:7" x14ac:dyDescent="0.25">
      <c r="F879" s="7"/>
      <c r="G879" s="1"/>
    </row>
    <row r="880" spans="6:7" x14ac:dyDescent="0.25">
      <c r="F880" s="7"/>
      <c r="G880" s="1"/>
    </row>
    <row r="881" spans="6:7" x14ac:dyDescent="0.25">
      <c r="F881" s="7"/>
      <c r="G881" s="1"/>
    </row>
    <row r="882" spans="6:7" x14ac:dyDescent="0.25">
      <c r="F882" s="7"/>
      <c r="G882" s="1"/>
    </row>
    <row r="883" spans="6:7" x14ac:dyDescent="0.25">
      <c r="F883" s="7"/>
      <c r="G883" s="1"/>
    </row>
    <row r="884" spans="6:7" x14ac:dyDescent="0.25">
      <c r="F884" s="7"/>
      <c r="G884" s="1"/>
    </row>
    <row r="885" spans="6:7" x14ac:dyDescent="0.25">
      <c r="F885" s="7"/>
      <c r="G885" s="1"/>
    </row>
    <row r="886" spans="6:7" x14ac:dyDescent="0.25">
      <c r="F886" s="7"/>
      <c r="G886" s="1"/>
    </row>
    <row r="887" spans="6:7" x14ac:dyDescent="0.25">
      <c r="F887" s="7"/>
      <c r="G887" s="1"/>
    </row>
    <row r="888" spans="6:7" x14ac:dyDescent="0.25">
      <c r="F888" s="7"/>
      <c r="G888" s="1"/>
    </row>
    <row r="889" spans="6:7" x14ac:dyDescent="0.25">
      <c r="F889" s="7"/>
      <c r="G889" s="1"/>
    </row>
    <row r="890" spans="6:7" x14ac:dyDescent="0.25">
      <c r="F890" s="7"/>
      <c r="G890" s="1"/>
    </row>
    <row r="891" spans="6:7" x14ac:dyDescent="0.25">
      <c r="F891" s="7"/>
      <c r="G891" s="1"/>
    </row>
    <row r="892" spans="6:7" x14ac:dyDescent="0.25">
      <c r="F892" s="7"/>
      <c r="G892" s="1"/>
    </row>
    <row r="893" spans="6:7" x14ac:dyDescent="0.25">
      <c r="F893" s="7"/>
      <c r="G893" s="1"/>
    </row>
    <row r="894" spans="6:7" x14ac:dyDescent="0.25">
      <c r="F894" s="7"/>
      <c r="G894" s="1"/>
    </row>
    <row r="895" spans="6:7" x14ac:dyDescent="0.25">
      <c r="F895" s="7"/>
      <c r="G895" s="1"/>
    </row>
    <row r="896" spans="6:7" x14ac:dyDescent="0.25">
      <c r="F896" s="7"/>
      <c r="G896" s="1"/>
    </row>
    <row r="897" spans="6:7" x14ac:dyDescent="0.25">
      <c r="F897" s="7"/>
      <c r="G897" s="1"/>
    </row>
    <row r="898" spans="6:7" x14ac:dyDescent="0.25">
      <c r="F898" s="7"/>
      <c r="G898" s="1"/>
    </row>
    <row r="899" spans="6:7" x14ac:dyDescent="0.25">
      <c r="F899" s="7"/>
      <c r="G899" s="1"/>
    </row>
    <row r="900" spans="6:7" x14ac:dyDescent="0.25">
      <c r="F900" s="7"/>
      <c r="G900" s="1"/>
    </row>
    <row r="901" spans="6:7" x14ac:dyDescent="0.25">
      <c r="F901" s="7"/>
      <c r="G901" s="1"/>
    </row>
    <row r="902" spans="6:7" x14ac:dyDescent="0.25">
      <c r="F902" s="7"/>
      <c r="G902" s="1"/>
    </row>
    <row r="903" spans="6:7" x14ac:dyDescent="0.25">
      <c r="F903" s="7"/>
      <c r="G903" s="1"/>
    </row>
    <row r="904" spans="6:7" x14ac:dyDescent="0.25">
      <c r="F904" s="7"/>
      <c r="G904" s="1"/>
    </row>
    <row r="905" spans="6:7" x14ac:dyDescent="0.25">
      <c r="F905" s="7"/>
      <c r="G905" s="1"/>
    </row>
    <row r="906" spans="6:7" x14ac:dyDescent="0.25">
      <c r="F906" s="7"/>
      <c r="G906" s="1"/>
    </row>
    <row r="907" spans="6:7" x14ac:dyDescent="0.25">
      <c r="F907" s="7"/>
      <c r="G907" s="1"/>
    </row>
    <row r="908" spans="6:7" x14ac:dyDescent="0.25">
      <c r="F908" s="7"/>
      <c r="G908" s="1"/>
    </row>
    <row r="909" spans="6:7" x14ac:dyDescent="0.25">
      <c r="F909" s="7"/>
      <c r="G909" s="1"/>
    </row>
    <row r="910" spans="6:7" x14ac:dyDescent="0.25">
      <c r="F910" s="7"/>
      <c r="G910" s="1"/>
    </row>
    <row r="911" spans="6:7" x14ac:dyDescent="0.25">
      <c r="F911" s="7"/>
      <c r="G911" s="1"/>
    </row>
    <row r="912" spans="6:7" x14ac:dyDescent="0.25">
      <c r="F912" s="7"/>
      <c r="G912" s="1"/>
    </row>
    <row r="913" spans="6:7" x14ac:dyDescent="0.25">
      <c r="F913" s="7"/>
      <c r="G913" s="1"/>
    </row>
    <row r="914" spans="6:7" x14ac:dyDescent="0.25">
      <c r="F914" s="7"/>
      <c r="G914" s="1"/>
    </row>
    <row r="915" spans="6:7" x14ac:dyDescent="0.25">
      <c r="F915" s="7"/>
      <c r="G915" s="1"/>
    </row>
    <row r="916" spans="6:7" x14ac:dyDescent="0.25">
      <c r="F916" s="7"/>
      <c r="G916" s="1"/>
    </row>
    <row r="917" spans="6:7" x14ac:dyDescent="0.25">
      <c r="F917" s="7"/>
      <c r="G917" s="1"/>
    </row>
    <row r="918" spans="6:7" x14ac:dyDescent="0.25">
      <c r="F918" s="7"/>
      <c r="G918" s="1"/>
    </row>
    <row r="919" spans="6:7" x14ac:dyDescent="0.25">
      <c r="F919" s="7"/>
      <c r="G919" s="1"/>
    </row>
    <row r="920" spans="6:7" x14ac:dyDescent="0.25">
      <c r="F920" s="7"/>
      <c r="G920" s="1"/>
    </row>
    <row r="921" spans="6:7" x14ac:dyDescent="0.25">
      <c r="F921" s="7"/>
      <c r="G921" s="1"/>
    </row>
    <row r="922" spans="6:7" x14ac:dyDescent="0.25">
      <c r="F922" s="7"/>
      <c r="G922" s="1"/>
    </row>
    <row r="923" spans="6:7" x14ac:dyDescent="0.25">
      <c r="F923" s="7"/>
      <c r="G923" s="1"/>
    </row>
    <row r="924" spans="6:7" x14ac:dyDescent="0.25">
      <c r="F924" s="7"/>
      <c r="G924" s="1"/>
    </row>
    <row r="925" spans="6:7" x14ac:dyDescent="0.25">
      <c r="F925" s="7"/>
      <c r="G925" s="1"/>
    </row>
    <row r="926" spans="6:7" x14ac:dyDescent="0.25">
      <c r="F926" s="7"/>
      <c r="G926" s="1"/>
    </row>
    <row r="927" spans="6:7" x14ac:dyDescent="0.25">
      <c r="F927" s="7"/>
      <c r="G927" s="1"/>
    </row>
    <row r="928" spans="6:7" x14ac:dyDescent="0.25">
      <c r="F928" s="7"/>
      <c r="G928" s="1"/>
    </row>
    <row r="929" spans="6:7" x14ac:dyDescent="0.25">
      <c r="F929" s="7"/>
      <c r="G929" s="1"/>
    </row>
    <row r="930" spans="6:7" x14ac:dyDescent="0.25">
      <c r="F930" s="7"/>
      <c r="G930" s="1"/>
    </row>
    <row r="931" spans="6:7" x14ac:dyDescent="0.25">
      <c r="F931" s="7"/>
      <c r="G931" s="1"/>
    </row>
    <row r="932" spans="6:7" x14ac:dyDescent="0.25">
      <c r="F932" s="7"/>
      <c r="G932" s="1"/>
    </row>
    <row r="933" spans="6:7" x14ac:dyDescent="0.25">
      <c r="F933" s="7"/>
      <c r="G933" s="1"/>
    </row>
    <row r="934" spans="6:7" x14ac:dyDescent="0.25">
      <c r="F934" s="7"/>
      <c r="G934" s="1"/>
    </row>
    <row r="935" spans="6:7" x14ac:dyDescent="0.25">
      <c r="F935" s="7"/>
      <c r="G935" s="1"/>
    </row>
    <row r="936" spans="6:7" x14ac:dyDescent="0.25">
      <c r="F936" s="7"/>
      <c r="G936" s="1"/>
    </row>
    <row r="937" spans="6:7" x14ac:dyDescent="0.25">
      <c r="F937" s="7"/>
      <c r="G937" s="1"/>
    </row>
    <row r="938" spans="6:7" x14ac:dyDescent="0.25">
      <c r="F938" s="7"/>
      <c r="G938" s="1"/>
    </row>
    <row r="939" spans="6:7" x14ac:dyDescent="0.25">
      <c r="F939" s="7"/>
      <c r="G939" s="1"/>
    </row>
    <row r="940" spans="6:7" x14ac:dyDescent="0.25">
      <c r="F940" s="7"/>
      <c r="G940" s="1"/>
    </row>
    <row r="941" spans="6:7" x14ac:dyDescent="0.25">
      <c r="F941" s="7"/>
      <c r="G941" s="1"/>
    </row>
    <row r="942" spans="6:7" x14ac:dyDescent="0.25">
      <c r="F942" s="7"/>
      <c r="G942" s="1"/>
    </row>
    <row r="943" spans="6:7" x14ac:dyDescent="0.25">
      <c r="F943" s="7"/>
      <c r="G943" s="1"/>
    </row>
    <row r="944" spans="6:7" x14ac:dyDescent="0.25">
      <c r="F944" s="7"/>
      <c r="G944" s="1"/>
    </row>
    <row r="945" spans="6:7" x14ac:dyDescent="0.25">
      <c r="F945" s="7"/>
      <c r="G945" s="1"/>
    </row>
    <row r="946" spans="6:7" x14ac:dyDescent="0.25">
      <c r="F946" s="7"/>
      <c r="G946" s="1"/>
    </row>
    <row r="947" spans="6:7" x14ac:dyDescent="0.25">
      <c r="F947" s="7"/>
      <c r="G947" s="1"/>
    </row>
    <row r="948" spans="6:7" x14ac:dyDescent="0.25">
      <c r="F948" s="7"/>
      <c r="G948" s="1"/>
    </row>
    <row r="949" spans="6:7" x14ac:dyDescent="0.25">
      <c r="F949" s="7"/>
      <c r="G949" s="1"/>
    </row>
    <row r="950" spans="6:7" x14ac:dyDescent="0.25">
      <c r="F950" s="7"/>
      <c r="G950" s="1"/>
    </row>
    <row r="951" spans="6:7" x14ac:dyDescent="0.25">
      <c r="F951" s="7"/>
      <c r="G951" s="1"/>
    </row>
    <row r="952" spans="6:7" x14ac:dyDescent="0.25">
      <c r="F952" s="7"/>
      <c r="G952" s="1"/>
    </row>
    <row r="953" spans="6:7" x14ac:dyDescent="0.25">
      <c r="F953" s="7"/>
      <c r="G953" s="1"/>
    </row>
    <row r="954" spans="6:7" x14ac:dyDescent="0.25">
      <c r="F954" s="7"/>
      <c r="G954" s="1"/>
    </row>
    <row r="955" spans="6:7" x14ac:dyDescent="0.25">
      <c r="F955" s="7"/>
      <c r="G955" s="1"/>
    </row>
    <row r="956" spans="6:7" x14ac:dyDescent="0.25">
      <c r="F956" s="7"/>
      <c r="G956" s="1"/>
    </row>
    <row r="957" spans="6:7" x14ac:dyDescent="0.25">
      <c r="F957" s="7"/>
      <c r="G957" s="1"/>
    </row>
    <row r="958" spans="6:7" x14ac:dyDescent="0.25">
      <c r="F958" s="7"/>
      <c r="G958" s="1"/>
    </row>
    <row r="959" spans="6:7" x14ac:dyDescent="0.25">
      <c r="F959" s="7"/>
      <c r="G959" s="1"/>
    </row>
    <row r="960" spans="6:7" x14ac:dyDescent="0.25">
      <c r="F960" s="7"/>
      <c r="G960" s="1"/>
    </row>
    <row r="961" spans="6:7" x14ac:dyDescent="0.25">
      <c r="F961" s="7"/>
      <c r="G961" s="1"/>
    </row>
    <row r="962" spans="6:7" x14ac:dyDescent="0.25">
      <c r="F962" s="7"/>
      <c r="G962" s="1"/>
    </row>
    <row r="963" spans="6:7" x14ac:dyDescent="0.25">
      <c r="F963" s="7"/>
      <c r="G963" s="1"/>
    </row>
    <row r="964" spans="6:7" x14ac:dyDescent="0.25">
      <c r="F964" s="7"/>
      <c r="G964" s="1"/>
    </row>
    <row r="965" spans="6:7" x14ac:dyDescent="0.25">
      <c r="F965" s="7"/>
      <c r="G965" s="1"/>
    </row>
    <row r="966" spans="6:7" x14ac:dyDescent="0.25">
      <c r="F966" s="7"/>
      <c r="G966" s="1"/>
    </row>
    <row r="967" spans="6:7" x14ac:dyDescent="0.25">
      <c r="F967" s="7"/>
      <c r="G967" s="1"/>
    </row>
    <row r="968" spans="6:7" x14ac:dyDescent="0.25">
      <c r="F968" s="7"/>
      <c r="G968" s="1"/>
    </row>
    <row r="969" spans="6:7" x14ac:dyDescent="0.25">
      <c r="F969" s="7"/>
      <c r="G969" s="1"/>
    </row>
    <row r="970" spans="6:7" x14ac:dyDescent="0.25">
      <c r="F970" s="7"/>
      <c r="G970" s="1"/>
    </row>
    <row r="971" spans="6:7" x14ac:dyDescent="0.25">
      <c r="F971" s="7"/>
      <c r="G971" s="1"/>
    </row>
    <row r="972" spans="6:7" x14ac:dyDescent="0.25">
      <c r="F972" s="7"/>
      <c r="G972" s="1"/>
    </row>
    <row r="973" spans="6:7" x14ac:dyDescent="0.25">
      <c r="F973" s="7"/>
      <c r="G973" s="1"/>
    </row>
    <row r="974" spans="6:7" x14ac:dyDescent="0.25">
      <c r="F974" s="7"/>
      <c r="G974" s="1"/>
    </row>
    <row r="975" spans="6:7" x14ac:dyDescent="0.25">
      <c r="F975" s="7"/>
      <c r="G975" s="1"/>
    </row>
    <row r="976" spans="6:7" x14ac:dyDescent="0.25">
      <c r="F976" s="7"/>
      <c r="G976" s="1"/>
    </row>
    <row r="977" spans="6:7" x14ac:dyDescent="0.25">
      <c r="F977" s="7"/>
      <c r="G977" s="1"/>
    </row>
    <row r="978" spans="6:7" x14ac:dyDescent="0.25">
      <c r="F978" s="7"/>
      <c r="G978" s="1"/>
    </row>
    <row r="979" spans="6:7" x14ac:dyDescent="0.25">
      <c r="F979" s="7"/>
      <c r="G979" s="1"/>
    </row>
    <row r="980" spans="6:7" x14ac:dyDescent="0.25">
      <c r="F980" s="7"/>
      <c r="G980" s="1"/>
    </row>
    <row r="981" spans="6:7" x14ac:dyDescent="0.25">
      <c r="F981" s="7"/>
      <c r="G981" s="1"/>
    </row>
    <row r="982" spans="6:7" x14ac:dyDescent="0.25">
      <c r="F982" s="7"/>
      <c r="G982" s="1"/>
    </row>
    <row r="983" spans="6:7" x14ac:dyDescent="0.25">
      <c r="F983" s="7"/>
      <c r="G983" s="1"/>
    </row>
    <row r="984" spans="6:7" x14ac:dyDescent="0.25">
      <c r="F984" s="7"/>
      <c r="G984" s="1"/>
    </row>
    <row r="985" spans="6:7" x14ac:dyDescent="0.25">
      <c r="F985" s="7"/>
      <c r="G985" s="1"/>
    </row>
    <row r="986" spans="6:7" x14ac:dyDescent="0.25">
      <c r="F986" s="7"/>
      <c r="G986" s="1"/>
    </row>
    <row r="987" spans="6:7" x14ac:dyDescent="0.25">
      <c r="F987" s="7"/>
      <c r="G987" s="1"/>
    </row>
    <row r="988" spans="6:7" x14ac:dyDescent="0.25">
      <c r="F988" s="7"/>
      <c r="G988" s="1"/>
    </row>
    <row r="989" spans="6:7" x14ac:dyDescent="0.25">
      <c r="F989" s="7"/>
      <c r="G989" s="1"/>
    </row>
    <row r="990" spans="6:7" x14ac:dyDescent="0.25">
      <c r="F990" s="7"/>
      <c r="G990" s="1"/>
    </row>
    <row r="991" spans="6:7" x14ac:dyDescent="0.25">
      <c r="F991" s="7"/>
      <c r="G991" s="1"/>
    </row>
    <row r="992" spans="6:7" x14ac:dyDescent="0.25">
      <c r="F992" s="7"/>
      <c r="G992" s="1"/>
    </row>
    <row r="993" spans="6:7" x14ac:dyDescent="0.25">
      <c r="F993" s="7"/>
      <c r="G993" s="1"/>
    </row>
    <row r="994" spans="6:7" x14ac:dyDescent="0.25">
      <c r="F994" s="7"/>
      <c r="G994" s="1"/>
    </row>
    <row r="995" spans="6:7" x14ac:dyDescent="0.25">
      <c r="F995" s="7"/>
      <c r="G995" s="1"/>
    </row>
    <row r="996" spans="6:7" x14ac:dyDescent="0.25">
      <c r="F996" s="7"/>
      <c r="G996" s="1"/>
    </row>
    <row r="997" spans="6:7" x14ac:dyDescent="0.25">
      <c r="F997" s="7"/>
      <c r="G997" s="1"/>
    </row>
    <row r="998" spans="6:7" x14ac:dyDescent="0.25">
      <c r="F998" s="7"/>
      <c r="G998" s="1"/>
    </row>
    <row r="999" spans="6:7" x14ac:dyDescent="0.25">
      <c r="F999" s="7"/>
      <c r="G999" s="1"/>
    </row>
    <row r="1000" spans="6:7" x14ac:dyDescent="0.25">
      <c r="F1000" s="7"/>
      <c r="G1000" s="1"/>
    </row>
    <row r="1001" spans="6:7" x14ac:dyDescent="0.25">
      <c r="F1001" s="7"/>
      <c r="G1001" s="1"/>
    </row>
    <row r="1002" spans="6:7" x14ac:dyDescent="0.25">
      <c r="F1002" s="7"/>
      <c r="G1002" s="1"/>
    </row>
    <row r="1003" spans="6:7" x14ac:dyDescent="0.25">
      <c r="F1003" s="7"/>
      <c r="G1003" s="1"/>
    </row>
    <row r="1004" spans="6:7" x14ac:dyDescent="0.25">
      <c r="F1004" s="7"/>
      <c r="G1004" s="1"/>
    </row>
    <row r="1005" spans="6:7" x14ac:dyDescent="0.25">
      <c r="F1005" s="7"/>
      <c r="G1005" s="1"/>
    </row>
    <row r="1006" spans="6:7" x14ac:dyDescent="0.25">
      <c r="F1006" s="7"/>
      <c r="G1006" s="1"/>
    </row>
    <row r="1007" spans="6:7" x14ac:dyDescent="0.25">
      <c r="F1007" s="7"/>
      <c r="G1007" s="1"/>
    </row>
    <row r="1008" spans="6:7" x14ac:dyDescent="0.25">
      <c r="F1008" s="7"/>
      <c r="G1008" s="1"/>
    </row>
    <row r="1009" spans="6:7" x14ac:dyDescent="0.25">
      <c r="F1009" s="7"/>
      <c r="G1009" s="1"/>
    </row>
    <row r="1010" spans="6:7" x14ac:dyDescent="0.25">
      <c r="F1010" s="7"/>
      <c r="G1010" s="1"/>
    </row>
    <row r="1011" spans="6:7" x14ac:dyDescent="0.25">
      <c r="F1011" s="7"/>
      <c r="G1011" s="1"/>
    </row>
    <row r="1012" spans="6:7" x14ac:dyDescent="0.25">
      <c r="F1012" s="7"/>
      <c r="G1012" s="1"/>
    </row>
    <row r="1013" spans="6:7" x14ac:dyDescent="0.25">
      <c r="F1013" s="7"/>
      <c r="G1013" s="1"/>
    </row>
    <row r="1014" spans="6:7" x14ac:dyDescent="0.25">
      <c r="F1014" s="7"/>
      <c r="G1014" s="1"/>
    </row>
    <row r="1015" spans="6:7" x14ac:dyDescent="0.25">
      <c r="F1015" s="7"/>
      <c r="G1015" s="1"/>
    </row>
    <row r="1016" spans="6:7" x14ac:dyDescent="0.25">
      <c r="F1016" s="7"/>
      <c r="G1016" s="1"/>
    </row>
    <row r="1017" spans="6:7" x14ac:dyDescent="0.25">
      <c r="F1017" s="7"/>
      <c r="G1017" s="1"/>
    </row>
    <row r="1018" spans="6:7" x14ac:dyDescent="0.25">
      <c r="F1018" s="7"/>
      <c r="G1018" s="1"/>
    </row>
    <row r="1019" spans="6:7" x14ac:dyDescent="0.25">
      <c r="F1019" s="7"/>
      <c r="G1019" s="1"/>
    </row>
    <row r="1020" spans="6:7" x14ac:dyDescent="0.25">
      <c r="F1020" s="7"/>
      <c r="G1020" s="1"/>
    </row>
    <row r="1021" spans="6:7" x14ac:dyDescent="0.25">
      <c r="F1021" s="7"/>
      <c r="G1021" s="1"/>
    </row>
    <row r="1022" spans="6:7" x14ac:dyDescent="0.25">
      <c r="F1022" s="7"/>
      <c r="G1022" s="1"/>
    </row>
    <row r="1023" spans="6:7" x14ac:dyDescent="0.25">
      <c r="F1023" s="7"/>
      <c r="G1023" s="1"/>
    </row>
    <row r="1024" spans="6:7" x14ac:dyDescent="0.25">
      <c r="F1024" s="7"/>
      <c r="G1024" s="1"/>
    </row>
    <row r="1025" spans="6:7" x14ac:dyDescent="0.25">
      <c r="F1025" s="7"/>
      <c r="G1025" s="1"/>
    </row>
    <row r="1026" spans="6:7" x14ac:dyDescent="0.25">
      <c r="F1026" s="7"/>
      <c r="G1026" s="1"/>
    </row>
    <row r="1027" spans="6:7" x14ac:dyDescent="0.25">
      <c r="F1027" s="7"/>
      <c r="G1027" s="1"/>
    </row>
    <row r="1028" spans="6:7" x14ac:dyDescent="0.25">
      <c r="F1028" s="7"/>
      <c r="G1028" s="1"/>
    </row>
    <row r="1029" spans="6:7" x14ac:dyDescent="0.25">
      <c r="F1029" s="7"/>
      <c r="G1029" s="1"/>
    </row>
    <row r="1030" spans="6:7" x14ac:dyDescent="0.25">
      <c r="F1030" s="7"/>
      <c r="G1030" s="1"/>
    </row>
    <row r="1031" spans="6:7" x14ac:dyDescent="0.25">
      <c r="F1031" s="7"/>
      <c r="G1031" s="1"/>
    </row>
    <row r="1032" spans="6:7" x14ac:dyDescent="0.25">
      <c r="F1032" s="7"/>
      <c r="G1032" s="1"/>
    </row>
    <row r="1033" spans="6:7" x14ac:dyDescent="0.25">
      <c r="F1033" s="7"/>
      <c r="G1033" s="1"/>
    </row>
    <row r="1034" spans="6:7" x14ac:dyDescent="0.25">
      <c r="F1034" s="7"/>
      <c r="G1034" s="1"/>
    </row>
    <row r="1035" spans="6:7" x14ac:dyDescent="0.25">
      <c r="F1035" s="7"/>
      <c r="G1035" s="1"/>
    </row>
    <row r="1036" spans="6:7" x14ac:dyDescent="0.25">
      <c r="F1036" s="7"/>
      <c r="G1036" s="1"/>
    </row>
    <row r="1037" spans="6:7" x14ac:dyDescent="0.25">
      <c r="F1037" s="7"/>
      <c r="G1037" s="1"/>
    </row>
    <row r="1038" spans="6:7" x14ac:dyDescent="0.25">
      <c r="F1038" s="7"/>
      <c r="G1038" s="1"/>
    </row>
    <row r="1039" spans="6:7" x14ac:dyDescent="0.25">
      <c r="F1039" s="7"/>
      <c r="G1039" s="1"/>
    </row>
    <row r="1040" spans="6:7" x14ac:dyDescent="0.25">
      <c r="F1040" s="7"/>
      <c r="G1040" s="1"/>
    </row>
    <row r="1041" spans="6:7" x14ac:dyDescent="0.25">
      <c r="F1041" s="7"/>
      <c r="G1041" s="1"/>
    </row>
    <row r="1042" spans="6:7" x14ac:dyDescent="0.25">
      <c r="F1042" s="7"/>
      <c r="G1042" s="1"/>
    </row>
    <row r="1043" spans="6:7" x14ac:dyDescent="0.25">
      <c r="F1043" s="7"/>
      <c r="G1043" s="1"/>
    </row>
    <row r="1044" spans="6:7" x14ac:dyDescent="0.25">
      <c r="F1044" s="7"/>
      <c r="G1044" s="1"/>
    </row>
    <row r="1045" spans="6:7" x14ac:dyDescent="0.25">
      <c r="F1045" s="7"/>
      <c r="G1045" s="1"/>
    </row>
    <row r="1046" spans="6:7" x14ac:dyDescent="0.25">
      <c r="F1046" s="7"/>
      <c r="G1046" s="1"/>
    </row>
    <row r="1047" spans="6:7" x14ac:dyDescent="0.25">
      <c r="F1047" s="7"/>
      <c r="G1047" s="1"/>
    </row>
    <row r="1048" spans="6:7" x14ac:dyDescent="0.25">
      <c r="F1048" s="7"/>
      <c r="G1048" s="1"/>
    </row>
    <row r="1049" spans="6:7" x14ac:dyDescent="0.25">
      <c r="F1049" s="7"/>
      <c r="G1049" s="1"/>
    </row>
    <row r="1050" spans="6:7" x14ac:dyDescent="0.25">
      <c r="F1050" s="7"/>
      <c r="G1050" s="1"/>
    </row>
    <row r="1051" spans="6:7" x14ac:dyDescent="0.25">
      <c r="F1051" s="7"/>
      <c r="G1051" s="1"/>
    </row>
    <row r="1052" spans="6:7" x14ac:dyDescent="0.25">
      <c r="F1052" s="7"/>
      <c r="G1052" s="1"/>
    </row>
    <row r="1053" spans="6:7" x14ac:dyDescent="0.25">
      <c r="F1053" s="7"/>
      <c r="G1053" s="1"/>
    </row>
    <row r="1054" spans="6:7" x14ac:dyDescent="0.25">
      <c r="F1054" s="7"/>
      <c r="G1054" s="1"/>
    </row>
    <row r="1055" spans="6:7" x14ac:dyDescent="0.25">
      <c r="F1055" s="7"/>
      <c r="G1055" s="1"/>
    </row>
    <row r="1056" spans="6:7" x14ac:dyDescent="0.25">
      <c r="F1056" s="7"/>
      <c r="G1056" s="1"/>
    </row>
    <row r="1057" spans="6:7" x14ac:dyDescent="0.25">
      <c r="F1057" s="7"/>
      <c r="G1057" s="1"/>
    </row>
    <row r="1058" spans="6:7" x14ac:dyDescent="0.25">
      <c r="F1058" s="7"/>
      <c r="G1058" s="1"/>
    </row>
    <row r="1059" spans="6:7" x14ac:dyDescent="0.25">
      <c r="F1059" s="7"/>
      <c r="G1059" s="1"/>
    </row>
    <row r="1060" spans="6:7" x14ac:dyDescent="0.25">
      <c r="F1060" s="7"/>
      <c r="G1060" s="1"/>
    </row>
    <row r="1061" spans="6:7" x14ac:dyDescent="0.25">
      <c r="F1061" s="7"/>
      <c r="G1061" s="1"/>
    </row>
    <row r="1062" spans="6:7" x14ac:dyDescent="0.25">
      <c r="F1062" s="7"/>
      <c r="G1062" s="1"/>
    </row>
    <row r="1063" spans="6:7" x14ac:dyDescent="0.25">
      <c r="F1063" s="7"/>
      <c r="G1063" s="1"/>
    </row>
    <row r="1064" spans="6:7" x14ac:dyDescent="0.25">
      <c r="F1064" s="7"/>
      <c r="G1064" s="1"/>
    </row>
    <row r="1065" spans="6:7" x14ac:dyDescent="0.25">
      <c r="F1065" s="7"/>
      <c r="G1065" s="1"/>
    </row>
    <row r="1066" spans="6:7" x14ac:dyDescent="0.25">
      <c r="F1066" s="7"/>
      <c r="G1066" s="1"/>
    </row>
    <row r="1067" spans="6:7" x14ac:dyDescent="0.25">
      <c r="F1067" s="7"/>
      <c r="G1067" s="1"/>
    </row>
    <row r="1068" spans="6:7" x14ac:dyDescent="0.25">
      <c r="F1068" s="7"/>
      <c r="G1068" s="1"/>
    </row>
    <row r="1069" spans="6:7" x14ac:dyDescent="0.25">
      <c r="F1069" s="7"/>
      <c r="G1069" s="1"/>
    </row>
    <row r="1070" spans="6:7" x14ac:dyDescent="0.25">
      <c r="F1070" s="7"/>
      <c r="G1070" s="1"/>
    </row>
    <row r="1071" spans="6:7" x14ac:dyDescent="0.25">
      <c r="F1071" s="7"/>
      <c r="G1071" s="1"/>
    </row>
    <row r="1072" spans="6:7" x14ac:dyDescent="0.25">
      <c r="F1072" s="7"/>
      <c r="G1072" s="1"/>
    </row>
    <row r="1073" spans="6:7" x14ac:dyDescent="0.25">
      <c r="F1073" s="7"/>
      <c r="G1073" s="1"/>
    </row>
    <row r="1074" spans="6:7" x14ac:dyDescent="0.25">
      <c r="F1074" s="7"/>
      <c r="G1074" s="1"/>
    </row>
    <row r="1075" spans="6:7" x14ac:dyDescent="0.25">
      <c r="F1075" s="7"/>
      <c r="G1075" s="1"/>
    </row>
    <row r="1076" spans="6:7" x14ac:dyDescent="0.25">
      <c r="F1076" s="7"/>
      <c r="G1076" s="1"/>
    </row>
    <row r="1077" spans="6:7" x14ac:dyDescent="0.25">
      <c r="F1077" s="7"/>
      <c r="G1077" s="1"/>
    </row>
    <row r="1078" spans="6:7" x14ac:dyDescent="0.25">
      <c r="F1078" s="7"/>
      <c r="G1078" s="1"/>
    </row>
    <row r="1079" spans="6:7" x14ac:dyDescent="0.25">
      <c r="F1079" s="7"/>
      <c r="G1079" s="1"/>
    </row>
    <row r="1080" spans="6:7" x14ac:dyDescent="0.25">
      <c r="F1080" s="7"/>
      <c r="G1080" s="1"/>
    </row>
    <row r="1081" spans="6:7" x14ac:dyDescent="0.25">
      <c r="F1081" s="7"/>
      <c r="G1081" s="1"/>
    </row>
    <row r="1082" spans="6:7" x14ac:dyDescent="0.25">
      <c r="F1082" s="7"/>
      <c r="G1082" s="1"/>
    </row>
    <row r="1083" spans="6:7" x14ac:dyDescent="0.25">
      <c r="F1083" s="7"/>
      <c r="G1083" s="1"/>
    </row>
    <row r="1084" spans="6:7" x14ac:dyDescent="0.25">
      <c r="F1084" s="7"/>
      <c r="G1084" s="1"/>
    </row>
    <row r="1085" spans="6:7" x14ac:dyDescent="0.25">
      <c r="F1085" s="7"/>
      <c r="G1085" s="1"/>
    </row>
    <row r="1086" spans="6:7" x14ac:dyDescent="0.25">
      <c r="F1086" s="7"/>
      <c r="G1086" s="1"/>
    </row>
    <row r="1087" spans="6:7" x14ac:dyDescent="0.25">
      <c r="F1087" s="7"/>
      <c r="G1087" s="1"/>
    </row>
    <row r="1088" spans="6:7" x14ac:dyDescent="0.25">
      <c r="F1088" s="7"/>
      <c r="G1088" s="1"/>
    </row>
    <row r="1089" spans="6:7" x14ac:dyDescent="0.25">
      <c r="F1089" s="7"/>
      <c r="G1089" s="1"/>
    </row>
    <row r="1090" spans="6:7" x14ac:dyDescent="0.25">
      <c r="F1090" s="7"/>
      <c r="G1090" s="1"/>
    </row>
    <row r="1091" spans="6:7" x14ac:dyDescent="0.25">
      <c r="F1091" s="7"/>
      <c r="G1091" s="1"/>
    </row>
    <row r="1092" spans="6:7" x14ac:dyDescent="0.25">
      <c r="F1092" s="7"/>
      <c r="G1092" s="1"/>
    </row>
    <row r="1093" spans="6:7" x14ac:dyDescent="0.25">
      <c r="F1093" s="7"/>
      <c r="G1093" s="1"/>
    </row>
    <row r="1094" spans="6:7" x14ac:dyDescent="0.25">
      <c r="F1094" s="7"/>
      <c r="G1094" s="1"/>
    </row>
    <row r="1095" spans="6:7" x14ac:dyDescent="0.25">
      <c r="F1095" s="7"/>
      <c r="G1095" s="1"/>
    </row>
    <row r="1096" spans="6:7" x14ac:dyDescent="0.25">
      <c r="F1096" s="7"/>
      <c r="G1096" s="1"/>
    </row>
    <row r="1097" spans="6:7" x14ac:dyDescent="0.25">
      <c r="F1097" s="7"/>
      <c r="G1097" s="1"/>
    </row>
    <row r="1098" spans="6:7" x14ac:dyDescent="0.25">
      <c r="F1098" s="7"/>
      <c r="G1098" s="1"/>
    </row>
    <row r="1099" spans="6:7" x14ac:dyDescent="0.25">
      <c r="F1099" s="7"/>
      <c r="G1099" s="1"/>
    </row>
    <row r="1100" spans="6:7" x14ac:dyDescent="0.25">
      <c r="F1100" s="7"/>
      <c r="G1100" s="1"/>
    </row>
    <row r="1101" spans="6:7" x14ac:dyDescent="0.25">
      <c r="F1101" s="7"/>
      <c r="G1101" s="1"/>
    </row>
    <row r="1102" spans="6:7" x14ac:dyDescent="0.25">
      <c r="F1102" s="7"/>
      <c r="G1102" s="1"/>
    </row>
    <row r="1103" spans="6:7" x14ac:dyDescent="0.25">
      <c r="F1103" s="7"/>
      <c r="G1103" s="1"/>
    </row>
    <row r="1104" spans="6:7" x14ac:dyDescent="0.25">
      <c r="F1104" s="7"/>
      <c r="G1104" s="1"/>
    </row>
    <row r="1105" spans="6:7" x14ac:dyDescent="0.25">
      <c r="F1105" s="7"/>
      <c r="G1105" s="1"/>
    </row>
    <row r="1106" spans="6:7" x14ac:dyDescent="0.25">
      <c r="F1106" s="7"/>
      <c r="G1106" s="1"/>
    </row>
    <row r="1107" spans="6:7" x14ac:dyDescent="0.25">
      <c r="F1107" s="7"/>
      <c r="G1107" s="1"/>
    </row>
    <row r="1108" spans="6:7" x14ac:dyDescent="0.25">
      <c r="F1108" s="7"/>
      <c r="G1108" s="1"/>
    </row>
    <row r="1109" spans="6:7" x14ac:dyDescent="0.25">
      <c r="F1109" s="7"/>
      <c r="G1109" s="1"/>
    </row>
    <row r="1110" spans="6:7" x14ac:dyDescent="0.25">
      <c r="F1110" s="7"/>
      <c r="G1110" s="1"/>
    </row>
    <row r="1111" spans="6:7" x14ac:dyDescent="0.25">
      <c r="F1111" s="7"/>
      <c r="G1111" s="1"/>
    </row>
    <row r="1112" spans="6:7" x14ac:dyDescent="0.25">
      <c r="F1112" s="7"/>
      <c r="G1112" s="1"/>
    </row>
    <row r="1113" spans="6:7" x14ac:dyDescent="0.25">
      <c r="F1113" s="7"/>
      <c r="G1113" s="1"/>
    </row>
    <row r="1114" spans="6:7" x14ac:dyDescent="0.25">
      <c r="F1114" s="7"/>
      <c r="G1114" s="1"/>
    </row>
    <row r="1115" spans="6:7" x14ac:dyDescent="0.25">
      <c r="F1115" s="7"/>
      <c r="G1115" s="1"/>
    </row>
    <row r="1116" spans="6:7" x14ac:dyDescent="0.25">
      <c r="F1116" s="7"/>
      <c r="G1116" s="1"/>
    </row>
    <row r="1117" spans="6:7" x14ac:dyDescent="0.25">
      <c r="F1117" s="7"/>
      <c r="G1117" s="1"/>
    </row>
    <row r="1118" spans="6:7" x14ac:dyDescent="0.25">
      <c r="F1118" s="7"/>
      <c r="G1118" s="1"/>
    </row>
    <row r="1119" spans="6:7" x14ac:dyDescent="0.25">
      <c r="F1119" s="7"/>
      <c r="G1119" s="1"/>
    </row>
    <row r="1120" spans="6:7" x14ac:dyDescent="0.25">
      <c r="F1120" s="7"/>
      <c r="G1120" s="1"/>
    </row>
    <row r="1121" spans="6:7" x14ac:dyDescent="0.25">
      <c r="F1121" s="7"/>
      <c r="G1121" s="1"/>
    </row>
    <row r="1122" spans="6:7" x14ac:dyDescent="0.25">
      <c r="F1122" s="7"/>
      <c r="G1122" s="1"/>
    </row>
    <row r="1123" spans="6:7" x14ac:dyDescent="0.25">
      <c r="F1123" s="7"/>
      <c r="G1123" s="1"/>
    </row>
    <row r="1124" spans="6:7" x14ac:dyDescent="0.25">
      <c r="F1124" s="7"/>
      <c r="G1124" s="1"/>
    </row>
    <row r="1125" spans="6:7" x14ac:dyDescent="0.25">
      <c r="F1125" s="7"/>
      <c r="G1125" s="1"/>
    </row>
    <row r="1126" spans="6:7" x14ac:dyDescent="0.25">
      <c r="F1126" s="7"/>
      <c r="G1126" s="1"/>
    </row>
    <row r="1127" spans="6:7" x14ac:dyDescent="0.25">
      <c r="F1127" s="7"/>
      <c r="G1127" s="1"/>
    </row>
    <row r="1128" spans="6:7" x14ac:dyDescent="0.25">
      <c r="F1128" s="7"/>
      <c r="G1128" s="1"/>
    </row>
    <row r="1129" spans="6:7" x14ac:dyDescent="0.25">
      <c r="F1129" s="7"/>
      <c r="G1129" s="1"/>
    </row>
    <row r="1130" spans="6:7" x14ac:dyDescent="0.25">
      <c r="F1130" s="7"/>
      <c r="G1130" s="1"/>
    </row>
    <row r="1131" spans="6:7" x14ac:dyDescent="0.25">
      <c r="F1131" s="7"/>
      <c r="G1131" s="1"/>
    </row>
    <row r="1132" spans="6:7" x14ac:dyDescent="0.25">
      <c r="F1132" s="7"/>
      <c r="G1132" s="1"/>
    </row>
    <row r="1133" spans="6:7" x14ac:dyDescent="0.25">
      <c r="F1133" s="7"/>
      <c r="G1133" s="1"/>
    </row>
    <row r="1134" spans="6:7" x14ac:dyDescent="0.25">
      <c r="F1134" s="7"/>
      <c r="G1134" s="1"/>
    </row>
    <row r="1135" spans="6:7" x14ac:dyDescent="0.25">
      <c r="F1135" s="7"/>
      <c r="G1135" s="1"/>
    </row>
    <row r="1136" spans="6:7" x14ac:dyDescent="0.25">
      <c r="F1136" s="7"/>
      <c r="G1136" s="1"/>
    </row>
    <row r="1137" spans="6:7" x14ac:dyDescent="0.25">
      <c r="F1137" s="7"/>
      <c r="G1137" s="1"/>
    </row>
    <row r="1138" spans="6:7" x14ac:dyDescent="0.25">
      <c r="F1138" s="7"/>
      <c r="G1138" s="1"/>
    </row>
    <row r="1139" spans="6:7" x14ac:dyDescent="0.25">
      <c r="F1139" s="7"/>
      <c r="G1139" s="1"/>
    </row>
    <row r="1140" spans="6:7" x14ac:dyDescent="0.25">
      <c r="F1140" s="7"/>
      <c r="G1140" s="1"/>
    </row>
    <row r="1141" spans="6:7" x14ac:dyDescent="0.25">
      <c r="F1141" s="7"/>
      <c r="G1141" s="1"/>
    </row>
    <row r="1142" spans="6:7" x14ac:dyDescent="0.25">
      <c r="F1142" s="7"/>
      <c r="G1142" s="1"/>
    </row>
    <row r="1143" spans="6:7" x14ac:dyDescent="0.25">
      <c r="F1143" s="7"/>
      <c r="G1143" s="1"/>
    </row>
    <row r="1144" spans="6:7" x14ac:dyDescent="0.25">
      <c r="F1144" s="7"/>
      <c r="G1144" s="1"/>
    </row>
    <row r="1145" spans="6:7" x14ac:dyDescent="0.25">
      <c r="F1145" s="7"/>
      <c r="G1145" s="1"/>
    </row>
    <row r="1146" spans="6:7" x14ac:dyDescent="0.25">
      <c r="F1146" s="7"/>
      <c r="G1146" s="1"/>
    </row>
    <row r="1147" spans="6:7" x14ac:dyDescent="0.25">
      <c r="F1147" s="7"/>
      <c r="G1147" s="1"/>
    </row>
    <row r="1148" spans="6:7" x14ac:dyDescent="0.25">
      <c r="F1148" s="7"/>
      <c r="G1148" s="1"/>
    </row>
    <row r="1149" spans="6:7" x14ac:dyDescent="0.25">
      <c r="F1149" s="7"/>
      <c r="G1149" s="1"/>
    </row>
    <row r="1150" spans="6:7" x14ac:dyDescent="0.25">
      <c r="F1150" s="7"/>
      <c r="G1150" s="1"/>
    </row>
    <row r="1151" spans="6:7" x14ac:dyDescent="0.25">
      <c r="F1151" s="7"/>
      <c r="G1151" s="1"/>
    </row>
    <row r="1152" spans="6:7" x14ac:dyDescent="0.25">
      <c r="F1152" s="7"/>
      <c r="G1152" s="1"/>
    </row>
    <row r="1153" spans="6:7" x14ac:dyDescent="0.25">
      <c r="F1153" s="7"/>
      <c r="G1153" s="1"/>
    </row>
    <row r="1154" spans="6:7" x14ac:dyDescent="0.25">
      <c r="F1154" s="7"/>
      <c r="G1154" s="1"/>
    </row>
    <row r="1155" spans="6:7" x14ac:dyDescent="0.25">
      <c r="F1155" s="7"/>
      <c r="G1155" s="1"/>
    </row>
    <row r="1156" spans="6:7" x14ac:dyDescent="0.25">
      <c r="F1156" s="7"/>
      <c r="G1156" s="1"/>
    </row>
    <row r="1157" spans="6:7" x14ac:dyDescent="0.25">
      <c r="F1157" s="7"/>
      <c r="G1157" s="1"/>
    </row>
    <row r="1158" spans="6:7" x14ac:dyDescent="0.25">
      <c r="F1158" s="7"/>
      <c r="G1158" s="1"/>
    </row>
    <row r="1159" spans="6:7" x14ac:dyDescent="0.25">
      <c r="F1159" s="7"/>
      <c r="G1159" s="1"/>
    </row>
    <row r="1160" spans="6:7" x14ac:dyDescent="0.25">
      <c r="F1160" s="7"/>
      <c r="G1160" s="1"/>
    </row>
    <row r="1161" spans="6:7" x14ac:dyDescent="0.25">
      <c r="F1161" s="7"/>
      <c r="G1161" s="1"/>
    </row>
    <row r="1162" spans="6:7" x14ac:dyDescent="0.25">
      <c r="F1162" s="7"/>
      <c r="G1162" s="1"/>
    </row>
    <row r="1163" spans="6:7" x14ac:dyDescent="0.25">
      <c r="F1163" s="7"/>
      <c r="G1163" s="1"/>
    </row>
    <row r="1164" spans="6:7" x14ac:dyDescent="0.25">
      <c r="F1164" s="7"/>
      <c r="G1164" s="1"/>
    </row>
    <row r="1165" spans="6:7" x14ac:dyDescent="0.25">
      <c r="F1165" s="7"/>
      <c r="G1165" s="1"/>
    </row>
    <row r="1166" spans="6:7" x14ac:dyDescent="0.25">
      <c r="F1166" s="7"/>
      <c r="G1166" s="1"/>
    </row>
    <row r="1167" spans="6:7" x14ac:dyDescent="0.25">
      <c r="F1167" s="7"/>
      <c r="G1167" s="1"/>
    </row>
    <row r="1168" spans="6:7" x14ac:dyDescent="0.25">
      <c r="F1168" s="7"/>
      <c r="G1168" s="1"/>
    </row>
    <row r="1169" spans="6:7" x14ac:dyDescent="0.25">
      <c r="F1169" s="7"/>
      <c r="G1169" s="1"/>
    </row>
    <row r="1170" spans="6:7" x14ac:dyDescent="0.25">
      <c r="F1170" s="7"/>
      <c r="G1170" s="1"/>
    </row>
    <row r="1171" spans="6:7" x14ac:dyDescent="0.25">
      <c r="F1171" s="7"/>
      <c r="G1171" s="1"/>
    </row>
    <row r="1172" spans="6:7" x14ac:dyDescent="0.25">
      <c r="F1172" s="7"/>
      <c r="G1172" s="1"/>
    </row>
    <row r="1173" spans="6:7" x14ac:dyDescent="0.25">
      <c r="F1173" s="7"/>
      <c r="G1173" s="1"/>
    </row>
    <row r="1174" spans="6:7" x14ac:dyDescent="0.25">
      <c r="F1174" s="7"/>
      <c r="G1174" s="1"/>
    </row>
    <row r="1175" spans="6:7" x14ac:dyDescent="0.25">
      <c r="F1175" s="7"/>
      <c r="G1175" s="1"/>
    </row>
    <row r="1176" spans="6:7" x14ac:dyDescent="0.25">
      <c r="F1176" s="7"/>
      <c r="G1176" s="1"/>
    </row>
    <row r="1177" spans="6:7" x14ac:dyDescent="0.25">
      <c r="F1177" s="7"/>
      <c r="G1177" s="1"/>
    </row>
    <row r="1178" spans="6:7" x14ac:dyDescent="0.25">
      <c r="F1178" s="7"/>
      <c r="G1178" s="1"/>
    </row>
    <row r="1179" spans="6:7" x14ac:dyDescent="0.25">
      <c r="F1179" s="7"/>
      <c r="G1179" s="1"/>
    </row>
    <row r="1180" spans="6:7" x14ac:dyDescent="0.25">
      <c r="F1180" s="7"/>
      <c r="G1180" s="1"/>
    </row>
    <row r="1181" spans="6:7" x14ac:dyDescent="0.25">
      <c r="F1181" s="7"/>
      <c r="G1181" s="1"/>
    </row>
    <row r="1182" spans="6:7" x14ac:dyDescent="0.25">
      <c r="F1182" s="7"/>
      <c r="G1182" s="1"/>
    </row>
    <row r="1183" spans="6:7" x14ac:dyDescent="0.25">
      <c r="F1183" s="7"/>
      <c r="G1183" s="1"/>
    </row>
    <row r="1184" spans="6:7" x14ac:dyDescent="0.25">
      <c r="F1184" s="7"/>
      <c r="G1184" s="1"/>
    </row>
    <row r="1185" spans="6:7" x14ac:dyDescent="0.25">
      <c r="F1185" s="7"/>
      <c r="G1185" s="1"/>
    </row>
    <row r="1186" spans="6:7" x14ac:dyDescent="0.25">
      <c r="F1186" s="7"/>
      <c r="G1186" s="1"/>
    </row>
    <row r="1187" spans="6:7" x14ac:dyDescent="0.25">
      <c r="F1187" s="7"/>
      <c r="G1187" s="1"/>
    </row>
    <row r="1188" spans="6:7" x14ac:dyDescent="0.25">
      <c r="F1188" s="7"/>
      <c r="G1188" s="1"/>
    </row>
    <row r="1189" spans="6:7" x14ac:dyDescent="0.25">
      <c r="F1189" s="7"/>
      <c r="G1189" s="1"/>
    </row>
    <row r="1190" spans="6:7" x14ac:dyDescent="0.25">
      <c r="F1190" s="7"/>
      <c r="G1190" s="1"/>
    </row>
    <row r="1191" spans="6:7" x14ac:dyDescent="0.25">
      <c r="F1191" s="7"/>
      <c r="G1191" s="1"/>
    </row>
    <row r="1192" spans="6:7" x14ac:dyDescent="0.25">
      <c r="F1192" s="7"/>
      <c r="G1192" s="1"/>
    </row>
    <row r="1193" spans="6:7" x14ac:dyDescent="0.25">
      <c r="F1193" s="7"/>
      <c r="G1193" s="1"/>
    </row>
    <row r="1194" spans="6:7" x14ac:dyDescent="0.25">
      <c r="F1194" s="7"/>
      <c r="G1194" s="1"/>
    </row>
    <row r="1195" spans="6:7" x14ac:dyDescent="0.25">
      <c r="F1195" s="7"/>
      <c r="G1195" s="1"/>
    </row>
    <row r="1196" spans="6:7" x14ac:dyDescent="0.25">
      <c r="F1196" s="7"/>
      <c r="G1196" s="1"/>
    </row>
    <row r="1197" spans="6:7" x14ac:dyDescent="0.25">
      <c r="F1197" s="7"/>
      <c r="G1197" s="1"/>
    </row>
    <row r="1198" spans="6:7" x14ac:dyDescent="0.25">
      <c r="F1198" s="7"/>
      <c r="G1198" s="1"/>
    </row>
    <row r="1199" spans="6:7" x14ac:dyDescent="0.25">
      <c r="F1199" s="7"/>
      <c r="G1199" s="1"/>
    </row>
    <row r="1200" spans="6:7" x14ac:dyDescent="0.25">
      <c r="F1200" s="7"/>
      <c r="G1200" s="1"/>
    </row>
    <row r="1201" spans="6:7" x14ac:dyDescent="0.25">
      <c r="F1201" s="7"/>
      <c r="G1201" s="1"/>
    </row>
    <row r="1202" spans="6:7" x14ac:dyDescent="0.25">
      <c r="F1202" s="7"/>
      <c r="G1202" s="1"/>
    </row>
    <row r="1203" spans="6:7" x14ac:dyDescent="0.25">
      <c r="F1203" s="7"/>
      <c r="G1203" s="1"/>
    </row>
    <row r="1204" spans="6:7" x14ac:dyDescent="0.25">
      <c r="F1204" s="7"/>
      <c r="G1204" s="1"/>
    </row>
    <row r="1205" spans="6:7" x14ac:dyDescent="0.25">
      <c r="F1205" s="7"/>
      <c r="G1205" s="1"/>
    </row>
    <row r="1206" spans="6:7" x14ac:dyDescent="0.25">
      <c r="F1206" s="7"/>
      <c r="G1206" s="1"/>
    </row>
    <row r="1207" spans="6:7" x14ac:dyDescent="0.25">
      <c r="F1207" s="7"/>
      <c r="G1207" s="1"/>
    </row>
    <row r="1208" spans="6:7" x14ac:dyDescent="0.25">
      <c r="F1208" s="7"/>
      <c r="G1208" s="1"/>
    </row>
    <row r="1209" spans="6:7" x14ac:dyDescent="0.25">
      <c r="F1209" s="7"/>
      <c r="G1209" s="1"/>
    </row>
    <row r="1210" spans="6:7" x14ac:dyDescent="0.25">
      <c r="F1210" s="7"/>
      <c r="G1210" s="1"/>
    </row>
    <row r="1211" spans="6:7" x14ac:dyDescent="0.25">
      <c r="F1211" s="7"/>
      <c r="G1211" s="1"/>
    </row>
    <row r="1212" spans="6:7" x14ac:dyDescent="0.25">
      <c r="F1212" s="7"/>
      <c r="G1212" s="1"/>
    </row>
    <row r="1213" spans="6:7" x14ac:dyDescent="0.25">
      <c r="F1213" s="7"/>
      <c r="G1213" s="1"/>
    </row>
    <row r="1214" spans="6:7" x14ac:dyDescent="0.25">
      <c r="F1214" s="7"/>
      <c r="G1214" s="1"/>
    </row>
    <row r="1215" spans="6:7" x14ac:dyDescent="0.25">
      <c r="F1215" s="7"/>
      <c r="G1215" s="1"/>
    </row>
    <row r="1216" spans="6:7" x14ac:dyDescent="0.25">
      <c r="F1216" s="7"/>
      <c r="G1216" s="1"/>
    </row>
    <row r="1217" spans="6:7" x14ac:dyDescent="0.25">
      <c r="F1217" s="7"/>
      <c r="G1217" s="1"/>
    </row>
    <row r="1218" spans="6:7" x14ac:dyDescent="0.25">
      <c r="F1218" s="7"/>
      <c r="G1218" s="1"/>
    </row>
    <row r="1219" spans="6:7" x14ac:dyDescent="0.25">
      <c r="F1219" s="7"/>
      <c r="G1219" s="1"/>
    </row>
    <row r="1220" spans="6:7" x14ac:dyDescent="0.25">
      <c r="F1220" s="7"/>
      <c r="G1220" s="1"/>
    </row>
    <row r="1221" spans="6:7" x14ac:dyDescent="0.25">
      <c r="F1221" s="7"/>
      <c r="G1221" s="1"/>
    </row>
    <row r="1222" spans="6:7" x14ac:dyDescent="0.25">
      <c r="F1222" s="7"/>
      <c r="G1222" s="1"/>
    </row>
    <row r="1223" spans="6:7" x14ac:dyDescent="0.25">
      <c r="F1223" s="7"/>
      <c r="G1223" s="1"/>
    </row>
    <row r="1224" spans="6:7" x14ac:dyDescent="0.25">
      <c r="F1224" s="7"/>
      <c r="G1224" s="1"/>
    </row>
    <row r="1225" spans="6:7" x14ac:dyDescent="0.25">
      <c r="F1225" s="7"/>
      <c r="G1225" s="1"/>
    </row>
    <row r="1226" spans="6:7" x14ac:dyDescent="0.25">
      <c r="F1226" s="7"/>
      <c r="G1226" s="1"/>
    </row>
    <row r="1227" spans="6:7" x14ac:dyDescent="0.25">
      <c r="F1227" s="7"/>
      <c r="G1227" s="1"/>
    </row>
    <row r="1228" spans="6:7" x14ac:dyDescent="0.25">
      <c r="F1228" s="7"/>
      <c r="G1228" s="1"/>
    </row>
    <row r="1229" spans="6:7" x14ac:dyDescent="0.25">
      <c r="F1229" s="7"/>
      <c r="G1229" s="1"/>
    </row>
    <row r="1230" spans="6:7" x14ac:dyDescent="0.25">
      <c r="F1230" s="7"/>
      <c r="G1230" s="1"/>
    </row>
    <row r="1231" spans="6:7" x14ac:dyDescent="0.25">
      <c r="F1231" s="7"/>
      <c r="G1231" s="1"/>
    </row>
    <row r="1232" spans="6:7" x14ac:dyDescent="0.25">
      <c r="F1232" s="7"/>
      <c r="G1232" s="1"/>
    </row>
    <row r="1233" spans="6:7" x14ac:dyDescent="0.25">
      <c r="F1233" s="7"/>
      <c r="G1233" s="1"/>
    </row>
    <row r="1234" spans="6:7" x14ac:dyDescent="0.25">
      <c r="F1234" s="7"/>
      <c r="G1234" s="1"/>
    </row>
    <row r="1235" spans="6:7" x14ac:dyDescent="0.25">
      <c r="F1235" s="7"/>
      <c r="G1235" s="1"/>
    </row>
    <row r="1236" spans="6:7" x14ac:dyDescent="0.25">
      <c r="F1236" s="7"/>
      <c r="G1236" s="1"/>
    </row>
    <row r="1237" spans="6:7" x14ac:dyDescent="0.25">
      <c r="F1237" s="7"/>
      <c r="G1237" s="1"/>
    </row>
    <row r="1238" spans="6:7" x14ac:dyDescent="0.25">
      <c r="F1238" s="7"/>
      <c r="G1238" s="1"/>
    </row>
    <row r="1239" spans="6:7" x14ac:dyDescent="0.25">
      <c r="F1239" s="7"/>
      <c r="G1239" s="1"/>
    </row>
    <row r="1240" spans="6:7" x14ac:dyDescent="0.25">
      <c r="F1240" s="7"/>
      <c r="G1240" s="1"/>
    </row>
    <row r="1241" spans="6:7" x14ac:dyDescent="0.25">
      <c r="F1241" s="7"/>
      <c r="G1241" s="1"/>
    </row>
    <row r="1242" spans="6:7" x14ac:dyDescent="0.25">
      <c r="F1242" s="7"/>
      <c r="G1242" s="1"/>
    </row>
    <row r="1243" spans="6:7" x14ac:dyDescent="0.25">
      <c r="F1243" s="7"/>
      <c r="G1243" s="1"/>
    </row>
    <row r="1244" spans="6:7" x14ac:dyDescent="0.25">
      <c r="F1244" s="7"/>
      <c r="G1244" s="1"/>
    </row>
    <row r="1245" spans="6:7" x14ac:dyDescent="0.25">
      <c r="F1245" s="7"/>
      <c r="G1245" s="1"/>
    </row>
    <row r="1246" spans="6:7" x14ac:dyDescent="0.25">
      <c r="F1246" s="7"/>
      <c r="G1246" s="1"/>
    </row>
    <row r="1247" spans="6:7" x14ac:dyDescent="0.25">
      <c r="F1247" s="7"/>
      <c r="G1247" s="1"/>
    </row>
    <row r="1248" spans="6:7" x14ac:dyDescent="0.25">
      <c r="F1248" s="7"/>
      <c r="G1248" s="1"/>
    </row>
    <row r="1249" spans="6:7" x14ac:dyDescent="0.25">
      <c r="F1249" s="7"/>
      <c r="G1249" s="1"/>
    </row>
    <row r="1250" spans="6:7" x14ac:dyDescent="0.25">
      <c r="F1250" s="7"/>
      <c r="G1250" s="1"/>
    </row>
    <row r="1251" spans="6:7" x14ac:dyDescent="0.25">
      <c r="F1251" s="7"/>
      <c r="G1251" s="1"/>
    </row>
    <row r="1252" spans="6:7" x14ac:dyDescent="0.25">
      <c r="F1252" s="7"/>
      <c r="G1252" s="1"/>
    </row>
    <row r="1253" spans="6:7" x14ac:dyDescent="0.25">
      <c r="F1253" s="7"/>
      <c r="G1253" s="1"/>
    </row>
    <row r="1254" spans="6:7" x14ac:dyDescent="0.25">
      <c r="F1254" s="7"/>
      <c r="G1254" s="1"/>
    </row>
    <row r="1255" spans="6:7" x14ac:dyDescent="0.25">
      <c r="F1255" s="7"/>
      <c r="G1255" s="1"/>
    </row>
    <row r="1256" spans="6:7" x14ac:dyDescent="0.25">
      <c r="F1256" s="7"/>
      <c r="G1256" s="1"/>
    </row>
    <row r="1257" spans="6:7" x14ac:dyDescent="0.25">
      <c r="F1257" s="7"/>
      <c r="G1257" s="1"/>
    </row>
    <row r="1258" spans="6:7" x14ac:dyDescent="0.25">
      <c r="F1258" s="7"/>
      <c r="G1258" s="1"/>
    </row>
    <row r="1259" spans="6:7" x14ac:dyDescent="0.25">
      <c r="F1259" s="7"/>
      <c r="G1259" s="1"/>
    </row>
    <row r="1260" spans="6:7" x14ac:dyDescent="0.25">
      <c r="F1260" s="7"/>
      <c r="G1260" s="1"/>
    </row>
    <row r="1261" spans="6:7" x14ac:dyDescent="0.25">
      <c r="F1261" s="7"/>
      <c r="G1261" s="1"/>
    </row>
    <row r="1262" spans="6:7" x14ac:dyDescent="0.25">
      <c r="F1262" s="7"/>
      <c r="G1262" s="1"/>
    </row>
    <row r="1263" spans="6:7" x14ac:dyDescent="0.25">
      <c r="F1263" s="7"/>
      <c r="G1263" s="1"/>
    </row>
    <row r="1264" spans="6:7" x14ac:dyDescent="0.25">
      <c r="F1264" s="7"/>
      <c r="G1264" s="1"/>
    </row>
    <row r="1265" spans="6:7" x14ac:dyDescent="0.25">
      <c r="F1265" s="7"/>
      <c r="G1265" s="1"/>
    </row>
    <row r="1266" spans="6:7" x14ac:dyDescent="0.25">
      <c r="F1266" s="7"/>
      <c r="G1266" s="1"/>
    </row>
    <row r="1267" spans="6:7" x14ac:dyDescent="0.25">
      <c r="F1267" s="7"/>
      <c r="G1267" s="1"/>
    </row>
    <row r="1268" spans="6:7" x14ac:dyDescent="0.25">
      <c r="F1268" s="7"/>
      <c r="G1268" s="1"/>
    </row>
    <row r="1269" spans="6:7" x14ac:dyDescent="0.25">
      <c r="F1269" s="7"/>
      <c r="G1269" s="1"/>
    </row>
    <row r="1270" spans="6:7" x14ac:dyDescent="0.25">
      <c r="F1270" s="7"/>
      <c r="G1270" s="1"/>
    </row>
    <row r="1271" spans="6:7" x14ac:dyDescent="0.25">
      <c r="F1271" s="7"/>
      <c r="G1271" s="1"/>
    </row>
    <row r="1272" spans="6:7" x14ac:dyDescent="0.25">
      <c r="F1272" s="7"/>
      <c r="G1272" s="1"/>
    </row>
    <row r="1273" spans="6:7" x14ac:dyDescent="0.25">
      <c r="F1273" s="7"/>
      <c r="G1273" s="1"/>
    </row>
    <row r="1274" spans="6:7" x14ac:dyDescent="0.25">
      <c r="F1274" s="7"/>
      <c r="G1274" s="1"/>
    </row>
    <row r="1275" spans="6:7" x14ac:dyDescent="0.25">
      <c r="F1275" s="7"/>
      <c r="G1275" s="1"/>
    </row>
    <row r="1276" spans="6:7" x14ac:dyDescent="0.25">
      <c r="F1276" s="7"/>
      <c r="G1276" s="1"/>
    </row>
    <row r="1277" spans="6:7" x14ac:dyDescent="0.25">
      <c r="F1277" s="7"/>
      <c r="G1277" s="1"/>
    </row>
    <row r="1278" spans="6:7" x14ac:dyDescent="0.25">
      <c r="F1278" s="7"/>
      <c r="G1278" s="1"/>
    </row>
    <row r="1279" spans="6:7" x14ac:dyDescent="0.25">
      <c r="F1279" s="7"/>
      <c r="G1279" s="1"/>
    </row>
    <row r="1280" spans="6:7" x14ac:dyDescent="0.25">
      <c r="F1280" s="7"/>
      <c r="G1280" s="1"/>
    </row>
    <row r="1281" spans="6:7" x14ac:dyDescent="0.25">
      <c r="F1281" s="7"/>
      <c r="G1281" s="1"/>
    </row>
    <row r="1282" spans="6:7" x14ac:dyDescent="0.25">
      <c r="F1282" s="7"/>
      <c r="G1282" s="1"/>
    </row>
    <row r="1283" spans="6:7" x14ac:dyDescent="0.25">
      <c r="F1283" s="7"/>
      <c r="G1283" s="1"/>
    </row>
    <row r="1284" spans="6:7" x14ac:dyDescent="0.25">
      <c r="F1284" s="7"/>
      <c r="G1284" s="1"/>
    </row>
  </sheetData>
  <sheetProtection password="9DA9" sheet="1" objects="1" scenarios="1" selectLockedCells="1"/>
  <protectedRanges>
    <protectedRange sqref="F45:F46" name="Range11"/>
    <protectedRange sqref="E42:F44" name="Range9"/>
    <protectedRange sqref="E48:F54" name="Range7"/>
    <protectedRange sqref="E40:F40" name="Range5"/>
    <protectedRange sqref="E23:F29 E31:F32" name="Range3"/>
    <protectedRange sqref="E4:F15" name="Range1"/>
    <protectedRange sqref="E21:F21" name="Range2"/>
    <protectedRange sqref="E34:F39" name="Range4"/>
    <protectedRange sqref="H45:H46" name="Range8"/>
    <protectedRange sqref="E45:E46" name="Range10"/>
  </protectedRanges>
  <phoneticPr fontId="4" type="noConversion"/>
  <pageMargins left="0.6692913385826772" right="0.55118110236220474" top="0.51181102362204722" bottom="0.47244094488188981" header="0.51181102362204722" footer="0.51181102362204722"/>
  <pageSetup scale="53" orientation="portrait" horizontalDpi="300" verticalDpi="300" r:id="rId1"/>
  <headerFooter scaleWithDoc="0"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row r="1" spans="1:1" x14ac:dyDescent="0.2">
      <c r="A1" t="s">
        <v>11</v>
      </c>
    </row>
  </sheetData>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Calculator</vt:lpstr>
      <vt:lpstr>Sheet2</vt:lpstr>
      <vt:lpstr>Sheet3</vt:lpstr>
      <vt:lpstr>Calculator!Print_Area</vt:lpstr>
    </vt:vector>
  </TitlesOfParts>
  <Company>Syngenta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Johnston</dc:creator>
  <cp:lastModifiedBy>Sara Sutherland</cp:lastModifiedBy>
  <cp:lastPrinted>2012-03-20T20:30:22Z</cp:lastPrinted>
  <dcterms:created xsi:type="dcterms:W3CDTF">2006-12-13T16:54:52Z</dcterms:created>
  <dcterms:modified xsi:type="dcterms:W3CDTF">2012-06-06T12:28:20Z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