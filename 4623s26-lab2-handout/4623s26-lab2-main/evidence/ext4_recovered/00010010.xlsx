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8" windowWidth="12120" windowHeight="7776" firstSheet="1" activeTab="1"/>
  </bookViews>
  <sheets>
    <sheet name="Sheet1" sheetId="6" state="hidden" r:id="rId1"/>
    <sheet name="Pricelist" sheetId="1" r:id="rId2"/>
    <sheet name="Descriptions" sheetId="5" r:id="rId3"/>
  </sheets>
  <definedNames>
    <definedName name="_xlnm.Print_Area" localSheetId="2">Descriptions!$A$1:$I$127</definedName>
    <definedName name="_xlnm.Print_Area" localSheetId="1">Pricelist!$B$2:$Q$132</definedName>
  </definedNames>
  <calcPr calcId="125725"/>
</workbook>
</file>

<file path=xl/calcChain.xml><?xml version="1.0" encoding="utf-8"?>
<calcChain xmlns="http://schemas.openxmlformats.org/spreadsheetml/2006/main">
  <c r="Q115" i="1"/>
  <c r="Q116"/>
  <c r="Q117"/>
  <c r="Q118"/>
  <c r="Q114"/>
  <c r="Q97"/>
  <c r="Q98"/>
  <c r="Q99"/>
  <c r="Q100"/>
  <c r="Q101"/>
  <c r="Q102"/>
  <c r="Q103"/>
  <c r="Q104"/>
  <c r="Q105"/>
  <c r="Q106"/>
  <c r="Q107"/>
  <c r="Q108"/>
  <c r="Q109"/>
  <c r="Q110"/>
  <c r="Q111"/>
  <c r="Q112"/>
  <c r="Q96"/>
  <c r="Q86"/>
  <c r="Q87"/>
  <c r="Q88"/>
  <c r="Q89"/>
  <c r="Q90"/>
  <c r="Q91"/>
  <c r="Q92"/>
  <c r="Q93"/>
  <c r="Q94"/>
  <c r="Q85"/>
  <c r="H115"/>
  <c r="H116"/>
  <c r="H114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93"/>
  <c r="H86"/>
  <c r="H87"/>
  <c r="H88"/>
  <c r="H89"/>
  <c r="H90"/>
  <c r="H91"/>
  <c r="H85"/>
  <c r="Q57"/>
  <c r="Q58"/>
  <c r="Q59"/>
  <c r="Q60"/>
  <c r="Q61"/>
  <c r="Q62"/>
  <c r="Q63"/>
  <c r="Q64"/>
  <c r="Q65"/>
  <c r="Q66"/>
  <c r="Q67"/>
  <c r="Q68"/>
  <c r="Q69"/>
  <c r="Q56"/>
  <c r="Q42"/>
  <c r="Q43"/>
  <c r="Q44"/>
  <c r="Q45"/>
  <c r="Q46"/>
  <c r="Q47"/>
  <c r="Q48"/>
  <c r="Q49"/>
  <c r="Q50"/>
  <c r="Q51"/>
  <c r="Q52"/>
  <c r="Q53"/>
  <c r="Q54"/>
  <c r="Q41"/>
  <c r="Q24"/>
  <c r="Q25"/>
  <c r="Q26"/>
  <c r="Q27"/>
  <c r="Q28"/>
  <c r="Q29"/>
  <c r="Q30"/>
  <c r="Q31"/>
  <c r="Q32"/>
  <c r="Q33"/>
  <c r="Q34"/>
  <c r="Q35"/>
  <c r="Q36"/>
  <c r="Q37"/>
  <c r="Q38"/>
  <c r="Q39"/>
  <c r="Q23"/>
  <c r="Q21"/>
  <c r="Q16"/>
  <c r="Q17"/>
  <c r="Q18"/>
  <c r="Q19"/>
  <c r="Q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15"/>
  <c r="P124"/>
  <c r="P125" s="1"/>
  <c r="P126" s="1"/>
  <c r="R15"/>
  <c r="R16"/>
  <c r="R17"/>
  <c r="R18"/>
  <c r="R19"/>
  <c r="R20"/>
  <c r="R21"/>
  <c r="R22"/>
  <c r="R23"/>
  <c r="R24"/>
  <c r="R25"/>
  <c r="R26"/>
  <c r="R27"/>
  <c r="R28"/>
  <c r="R29"/>
  <c r="R30"/>
  <c r="R31"/>
  <c r="R33"/>
  <c r="R34"/>
  <c r="R35"/>
  <c r="R36"/>
  <c r="R37"/>
  <c r="R38"/>
  <c r="R39"/>
  <c r="R40"/>
  <c r="R41"/>
  <c r="R42"/>
  <c r="R43"/>
  <c r="R44"/>
  <c r="R45"/>
  <c r="R46"/>
  <c r="R48"/>
  <c r="R49"/>
  <c r="R50"/>
  <c r="R51"/>
  <c r="R52"/>
  <c r="R53"/>
  <c r="R54"/>
  <c r="R55"/>
  <c r="R56"/>
  <c r="R57"/>
  <c r="R58"/>
  <c r="R59"/>
  <c r="R60"/>
  <c r="P127" l="1"/>
  <c r="P128" s="1"/>
</calcChain>
</file>

<file path=xl/sharedStrings.xml><?xml version="1.0" encoding="utf-8"?>
<sst xmlns="http://schemas.openxmlformats.org/spreadsheetml/2006/main" count="868" uniqueCount="671">
  <si>
    <t>ROMAN CANDLES</t>
  </si>
  <si>
    <t>RETAIL</t>
  </si>
  <si>
    <t>CASE</t>
  </si>
  <si>
    <t>5 Ball Roman Candle</t>
  </si>
  <si>
    <t>8 Ball Roman Candle</t>
  </si>
  <si>
    <t>10 Ball Roman Candle</t>
  </si>
  <si>
    <t>8 Ball Crackling Candle</t>
  </si>
  <si>
    <t>Red Dragon Candle</t>
  </si>
  <si>
    <t>Blue Dragon Candle</t>
  </si>
  <si>
    <t>Green Dragon Candle</t>
  </si>
  <si>
    <t>Silver Cascade Candle</t>
  </si>
  <si>
    <t>BARRAGES</t>
  </si>
  <si>
    <t>Inferno</t>
  </si>
  <si>
    <t>Typhoon</t>
  </si>
  <si>
    <t>Emerald Forest</t>
  </si>
  <si>
    <t>Dragon's Breath</t>
  </si>
  <si>
    <t>Sky Mirage</t>
  </si>
  <si>
    <t>Ocean Mist</t>
  </si>
  <si>
    <t>Shogun Battery</t>
  </si>
  <si>
    <t>Flight of the Phoenix</t>
  </si>
  <si>
    <t>Samurai Warrior</t>
  </si>
  <si>
    <t>70 Shot Barrage</t>
  </si>
  <si>
    <t>Snowball Cannon</t>
  </si>
  <si>
    <t>Battle of Colours</t>
  </si>
  <si>
    <t>Dancing Butterflies</t>
  </si>
  <si>
    <t>70 Shot Crackling Barrage</t>
  </si>
  <si>
    <t>AIRBOMBS</t>
  </si>
  <si>
    <t>Vulcan Airbomb</t>
  </si>
  <si>
    <t>Thunder King</t>
  </si>
  <si>
    <t>Crackling Thunder</t>
  </si>
  <si>
    <t>Carmel Fountain</t>
  </si>
  <si>
    <t>Bengal Fire Fountain</t>
  </si>
  <si>
    <t>Crackling Cone</t>
  </si>
  <si>
    <t>Multicolour Cone</t>
  </si>
  <si>
    <t>Giant Emerald Fountain</t>
  </si>
  <si>
    <t>Jackpot Fountain</t>
  </si>
  <si>
    <t>Blackout Fountain</t>
  </si>
  <si>
    <t>240</t>
  </si>
  <si>
    <t>TUBE ITEMS</t>
  </si>
  <si>
    <t>Air Colour Bomb</t>
  </si>
  <si>
    <t>Gold Glitter Comet</t>
  </si>
  <si>
    <t>Silver Tiger Tail</t>
  </si>
  <si>
    <t>Cyber Mine</t>
  </si>
  <si>
    <t>Snapping Dragon</t>
  </si>
  <si>
    <t>Gold Fish</t>
  </si>
  <si>
    <t>Silver Palm Tree w/Tail</t>
  </si>
  <si>
    <t>Air Raid</t>
  </si>
  <si>
    <t>Vulcan Rainbow Mine</t>
  </si>
  <si>
    <t>Storm Warning</t>
  </si>
  <si>
    <t>Crackling Peony</t>
  </si>
  <si>
    <t>Sapphire Knight</t>
  </si>
  <si>
    <t xml:space="preserve">Golden Rain Willow </t>
  </si>
  <si>
    <t>CAKES</t>
  </si>
  <si>
    <t>Night Flyer</t>
  </si>
  <si>
    <t>Great White Shark</t>
  </si>
  <si>
    <t>Piranha</t>
  </si>
  <si>
    <t>Dragon Fury</t>
  </si>
  <si>
    <t>24 Shot Pearl Battery</t>
  </si>
  <si>
    <t>72 Shot Pearl Battery</t>
  </si>
  <si>
    <t>Flying Swordfish</t>
  </si>
  <si>
    <t>Kung Fu</t>
  </si>
  <si>
    <t>Pinball Mayhem</t>
  </si>
  <si>
    <t xml:space="preserve">Time Warp </t>
  </si>
  <si>
    <t>SPARKLERS</t>
  </si>
  <si>
    <t>10" Sparklers</t>
  </si>
  <si>
    <t>14" Sparklers</t>
  </si>
  <si>
    <t>PROMOTIONAL ITEMS</t>
  </si>
  <si>
    <t>Shogun inflatable rocket</t>
  </si>
  <si>
    <t>QTY</t>
  </si>
  <si>
    <t>5 multi-coloured stars to 15 meters</t>
  </si>
  <si>
    <t>8 multi-coloured stars to 15 meters</t>
  </si>
  <si>
    <t>10 multi-coloured stars to 15 meters</t>
  </si>
  <si>
    <t>8 gold crackling stars to 15 meters</t>
  </si>
  <si>
    <t>8 red stars with white glitter tails to 25 meters</t>
  </si>
  <si>
    <t>8 blue stars with white glitter tails to 25 meters</t>
  </si>
  <si>
    <t>8 green stars with white glitter tails to 25 meters</t>
  </si>
  <si>
    <t>8 large silver comets to 25 meters</t>
  </si>
  <si>
    <t>24 red stars to 15 meters</t>
  </si>
  <si>
    <t>24 blue stars to 15 meters</t>
  </si>
  <si>
    <t>24 green stars to 15 meters</t>
  </si>
  <si>
    <t>30 red and green stars to 15 meters</t>
  </si>
  <si>
    <t>30 red, green and white stars to 15 meters</t>
  </si>
  <si>
    <t>30 blue and white stars to 15 meters</t>
  </si>
  <si>
    <t>50 blue, white and green stars to 15 meters</t>
  </si>
  <si>
    <t>50 green and white stars to 15 meters</t>
  </si>
  <si>
    <t>50 blue and yellow stars to 15 meters</t>
  </si>
  <si>
    <t>70 bright white stars to 20 meters</t>
  </si>
  <si>
    <t>70 yellow, green and red stars to 20 meters</t>
  </si>
  <si>
    <t>70 yellow and blue stars to 20 meters</t>
  </si>
  <si>
    <t>spins on ground, changes colour three times</t>
  </si>
  <si>
    <t>jumbo ground spinner, three colours</t>
  </si>
  <si>
    <t>silver, green and multicoloured fountains</t>
  </si>
  <si>
    <t>red or green flare to piercing whistle</t>
  </si>
  <si>
    <t>huge crackling shower</t>
  </si>
  <si>
    <t>multicolour shower of stars</t>
  </si>
  <si>
    <t>coloured fountain with crackling stars and whistle</t>
  </si>
  <si>
    <t>repeating fountain of colour, crackle and whistles</t>
  </si>
  <si>
    <t>loud detonation at 15 meters</t>
  </si>
  <si>
    <t>loud detonation with bright flash at 15 meters</t>
  </si>
  <si>
    <t>large red or green burst at 25 meters</t>
  </si>
  <si>
    <t>red comet with bright silver tail to 25 meters</t>
  </si>
  <si>
    <t>burst of green and crackling stars</t>
  </si>
  <si>
    <t>silver tail to a large palm tree burst at 25 meters</t>
  </si>
  <si>
    <t>huge burst of colour stars and titanium whistles</t>
  </si>
  <si>
    <t>burst of colour and crackling stars</t>
  </si>
  <si>
    <t>25 shots floral bursts with silver and gold fish</t>
  </si>
  <si>
    <t>19 gold tails to large bursts of blue and silver fish</t>
  </si>
  <si>
    <t>Time Warp</t>
  </si>
  <si>
    <t>Golden Rain Willow</t>
  </si>
  <si>
    <t>45 seconds, 8 per package</t>
  </si>
  <si>
    <t>70 seconds, 10 per package</t>
  </si>
  <si>
    <t>Silver Shrapnel</t>
  </si>
  <si>
    <t xml:space="preserve">Canadian Pride </t>
  </si>
  <si>
    <t xml:space="preserve">Silver Shrapnel </t>
  </si>
  <si>
    <t>shots of red and white stars to 20 meters</t>
  </si>
  <si>
    <t>large golden willow floral burst at 25 meters</t>
  </si>
  <si>
    <t>large blue and green floral burst at 25 meters</t>
  </si>
  <si>
    <t>Bull's Eye</t>
  </si>
  <si>
    <t xml:space="preserve">Area 51 </t>
  </si>
  <si>
    <t>NOVELTIES</t>
  </si>
  <si>
    <t>Camellia Flowers</t>
  </si>
  <si>
    <t>Ground Bloom Flower</t>
  </si>
  <si>
    <t>Disco Flash</t>
  </si>
  <si>
    <t>WHEELS</t>
  </si>
  <si>
    <t>Wheel of U2</t>
  </si>
  <si>
    <t>Red and White Peony</t>
  </si>
  <si>
    <t>Diablo</t>
  </si>
  <si>
    <t>ASSORTMENTS</t>
  </si>
  <si>
    <t xml:space="preserve">CASE </t>
  </si>
  <si>
    <t>24" Sparklers</t>
  </si>
  <si>
    <t>150 seconds, 8 per package</t>
  </si>
  <si>
    <t>Jumbo Ground Bloom Flower</t>
  </si>
  <si>
    <t>large silver strobe lights</t>
  </si>
  <si>
    <t>huge red and white peony at 25 meters</t>
  </si>
  <si>
    <t>FOUNTAINS AND CONES</t>
  </si>
  <si>
    <t xml:space="preserve">FOUNTAINS AND CONES </t>
  </si>
  <si>
    <t>8 stars bursting into silver fish at 25 meters</t>
  </si>
  <si>
    <t>spins on ground with silver sparks 6 pack</t>
  </si>
  <si>
    <t>10' x 2' Vulcan vinyl banner</t>
  </si>
  <si>
    <t>Meteor Shower</t>
  </si>
  <si>
    <t>Godzilla</t>
  </si>
  <si>
    <t>shoots 36 crackling comets to 15 meters</t>
  </si>
  <si>
    <t>2' x 10' Vulcan banner</t>
  </si>
  <si>
    <t>vinyl Vulcan banner</t>
  </si>
  <si>
    <t>Magnum Bombard</t>
  </si>
  <si>
    <t>Silver Bee Candle</t>
  </si>
  <si>
    <t>Rock 'n Roll</t>
  </si>
  <si>
    <t>large assortment</t>
  </si>
  <si>
    <t>large crackling floral burst at 25 meters</t>
  </si>
  <si>
    <t>Grand Slam</t>
  </si>
  <si>
    <t>Blockbuster</t>
  </si>
  <si>
    <t>Proud Canadian</t>
  </si>
  <si>
    <t>Dragon Slayer</t>
  </si>
  <si>
    <t>large gold comet to 25 meters</t>
  </si>
  <si>
    <t>jumbo sized assortment - lots of cakes</t>
  </si>
  <si>
    <t>huge assortment</t>
  </si>
  <si>
    <t>10' x 10' VULCAN tent</t>
  </si>
  <si>
    <t>large tent for retailing fireworks w/ VULCAN logo</t>
  </si>
  <si>
    <t>Kingpin</t>
  </si>
  <si>
    <t>White Glitter Crossette</t>
  </si>
  <si>
    <t>Vulcan Whistle Bomb</t>
  </si>
  <si>
    <t>Magic Show</t>
  </si>
  <si>
    <t>Pirate's Bounty</t>
  </si>
  <si>
    <t>Mummy's Curse</t>
  </si>
  <si>
    <t>Domino</t>
  </si>
  <si>
    <t>Right Choice</t>
  </si>
  <si>
    <t>Body Slam</t>
  </si>
  <si>
    <t>whistling tail to loud detonation at 15 meters</t>
  </si>
  <si>
    <t>glittering tail to crossette burst at 25 meters</t>
  </si>
  <si>
    <t>small assortment</t>
  </si>
  <si>
    <t>medium assortment</t>
  </si>
  <si>
    <t>giant assortment</t>
  </si>
  <si>
    <t>Black Widow</t>
  </si>
  <si>
    <t>Horror Show</t>
  </si>
  <si>
    <t>Aces High</t>
  </si>
  <si>
    <t>Evil Eye</t>
  </si>
  <si>
    <t>Alien Invasion</t>
  </si>
  <si>
    <t>19 silver trunks to huge palm trees with finale</t>
  </si>
  <si>
    <t>Wind in the Palms</t>
  </si>
  <si>
    <t>Missile Base</t>
  </si>
  <si>
    <t>100 shots of silver screaming whistles</t>
  </si>
  <si>
    <t>Cherry Bomb</t>
  </si>
  <si>
    <t>loud detonation with titanium burst at 15 meters</t>
  </si>
  <si>
    <t>Tidal Wave</t>
  </si>
  <si>
    <t>Lock 'n Load</t>
  </si>
  <si>
    <t>Outlaw</t>
  </si>
  <si>
    <t>Ammo Crate</t>
  </si>
  <si>
    <t>Vulcan Bomb Box</t>
  </si>
  <si>
    <t>Vulcan Party Box</t>
  </si>
  <si>
    <t>Midway</t>
  </si>
  <si>
    <t>D-Day</t>
  </si>
  <si>
    <t>Vulcan Rocket Fountain</t>
  </si>
  <si>
    <t>Jumbo Rocket Fountain</t>
  </si>
  <si>
    <t>Aftershock</t>
  </si>
  <si>
    <t>Enforcer</t>
  </si>
  <si>
    <t>TOTAL</t>
  </si>
  <si>
    <t>silver crackling fountain with red stars</t>
  </si>
  <si>
    <t>multi-coloured fountain with crackling stars</t>
  </si>
  <si>
    <t xml:space="preserve">gigantic assortment that comes packed inside </t>
  </si>
  <si>
    <t>re-useable wooden hinged crate</t>
  </si>
  <si>
    <t>30" x 16" shopping bag</t>
  </si>
  <si>
    <t>Dragon Eggs</t>
  </si>
  <si>
    <t>192</t>
  </si>
  <si>
    <t>Mini Airbombs</t>
  </si>
  <si>
    <t>Saturn Missiles</t>
  </si>
  <si>
    <t>Gold Rush</t>
  </si>
  <si>
    <t>Mushroom Cloud</t>
  </si>
  <si>
    <t>Meltdown</t>
  </si>
  <si>
    <t>Jack Frost</t>
  </si>
  <si>
    <t>Joker</t>
  </si>
  <si>
    <t>Screaming Demon</t>
  </si>
  <si>
    <t>8 stars burst into crackling stars at 25 meters</t>
  </si>
  <si>
    <t>Burning Schoolhouse</t>
  </si>
  <si>
    <t>500</t>
  </si>
  <si>
    <t xml:space="preserve">Disco Flash </t>
  </si>
  <si>
    <t xml:space="preserve">Camellia Flowers </t>
  </si>
  <si>
    <t>100 shots of whistles to crackling stars.</t>
  </si>
  <si>
    <t>19 gold tails to golden willows with coloured tips.</t>
  </si>
  <si>
    <t>25 shots of red, green and crackling palm trees.</t>
  </si>
  <si>
    <t>Vulcan Magic Fire</t>
  </si>
  <si>
    <t>36 shots of crackling rain.</t>
  </si>
  <si>
    <t>25 shots of 3 stage whistles to 50 meters.</t>
  </si>
  <si>
    <t>shoots whistle with loud detonation (6 pack)</t>
  </si>
  <si>
    <t>campfire novelty which changes colour of fire</t>
  </si>
  <si>
    <t xml:space="preserve">green glittering fountain changing to white plum </t>
  </si>
  <si>
    <t>Basket of Cherries</t>
  </si>
  <si>
    <t>Vulcan bunting</t>
  </si>
  <si>
    <t>100' Vulcan logo bunting for tables</t>
  </si>
  <si>
    <t>Time Bomb</t>
  </si>
  <si>
    <t>24 shots of red stars to 15 meters.</t>
  </si>
  <si>
    <t xml:space="preserve">Basket Of Cherries </t>
  </si>
  <si>
    <t xml:space="preserve">Vulcan Magic Fire </t>
  </si>
  <si>
    <t xml:space="preserve">Burning Schoolhouse </t>
  </si>
  <si>
    <t>Ship To:</t>
  </si>
  <si>
    <t xml:space="preserve">Saturn Missiles </t>
  </si>
  <si>
    <t xml:space="preserve">Gold Rush </t>
  </si>
  <si>
    <t xml:space="preserve">Meltdown </t>
  </si>
  <si>
    <t xml:space="preserve">Jack Frost </t>
  </si>
  <si>
    <t xml:space="preserve">Joker </t>
  </si>
  <si>
    <t xml:space="preserve">Time Bomb </t>
  </si>
  <si>
    <t xml:space="preserve">Mini Airbombs </t>
  </si>
  <si>
    <t>Substitutions allowed:</t>
  </si>
  <si>
    <t>Yes</t>
  </si>
  <si>
    <t>No</t>
  </si>
  <si>
    <t>Blue Ring w/ White Strobe Pistil</t>
  </si>
  <si>
    <t>Red Ring w/ Crackling Pistil</t>
  </si>
  <si>
    <t>Notes:</t>
  </si>
  <si>
    <t>TOTAL RETAIL</t>
  </si>
  <si>
    <t>DISCOUNT</t>
  </si>
  <si>
    <t>SUBTOTAL</t>
  </si>
  <si>
    <t xml:space="preserve"> TOTAL</t>
  </si>
  <si>
    <t>Vulcan Parachute</t>
  </si>
  <si>
    <t>Sold to:</t>
  </si>
  <si>
    <t>shoots 16 silver whistles to 20 meters.</t>
  </si>
  <si>
    <t>25 meters.</t>
  </si>
  <si>
    <t>large uniquely packaged assortment</t>
  </si>
  <si>
    <t>shoots a large parachute to 25 meters</t>
  </si>
  <si>
    <t>shoots a large crackling burst with firecrackers.</t>
  </si>
  <si>
    <t>12 multi-coloured stars to 15 meters</t>
  </si>
  <si>
    <t>13 multi-coloured stars to 15 meters</t>
  </si>
  <si>
    <t xml:space="preserve">35 howling whistles to red stars to 30 meters. </t>
  </si>
  <si>
    <t>VERY LOUD</t>
  </si>
  <si>
    <t>stars</t>
  </si>
  <si>
    <t>large shopping bag with VULCAN logo</t>
  </si>
  <si>
    <t>CAKES (CONT'D )</t>
  </si>
  <si>
    <t>Vulcan 2' x 10' coroplast sign</t>
  </si>
  <si>
    <t>2' x 10' coroplast sign</t>
  </si>
  <si>
    <t>Vulcan coroplast banner.</t>
  </si>
  <si>
    <t xml:space="preserve">25 shots of violet, aqua and lime floral bursts </t>
  </si>
  <si>
    <t>with crackling stars</t>
  </si>
  <si>
    <t xml:space="preserve">19 huge flowers of yellow, blue, purple and white </t>
  </si>
  <si>
    <t xml:space="preserve"> flash with finale</t>
  </si>
  <si>
    <t>25 shots of whirlwinds,floral bursts and hummers</t>
  </si>
  <si>
    <t>36 shots of red, blue, green, purple and crackling</t>
  </si>
  <si>
    <t>floral bursts w/rising red tails in rapid succession</t>
  </si>
  <si>
    <t>NEW</t>
  </si>
  <si>
    <t>shoots 100 golden crackling comets to 20 m.</t>
  </si>
  <si>
    <t>burst of green stars with flying gold fish at 25 m.</t>
  </si>
  <si>
    <t xml:space="preserve">big burst of crackling stars and silver flying fish </t>
  </si>
  <si>
    <t>70 red,blue,green,orange &amp; white stars to 20 m</t>
  </si>
  <si>
    <t>8 stars turn to silver spinning whirlwinds at 25 m</t>
  </si>
  <si>
    <t>gold crackling tail to loud detonation at 15 m</t>
  </si>
  <si>
    <t>Shogun rocket</t>
  </si>
  <si>
    <t>inflatable rocket with logo standing 6-1/2' high</t>
  </si>
  <si>
    <t>72 crackling comets w/red and green pearls to</t>
  </si>
  <si>
    <t xml:space="preserve"> 15 meters</t>
  </si>
  <si>
    <t xml:space="preserve">16 shots of silver spinners with red and green </t>
  </si>
  <si>
    <t>19 multicoloured and crackling bursts to 25 m</t>
  </si>
  <si>
    <t xml:space="preserve">16 silver tails to large red, blue and purple  </t>
  </si>
  <si>
    <t xml:space="preserve">25 shots of red, white, blue, green comets with </t>
  </si>
  <si>
    <t>crackling</t>
  </si>
  <si>
    <t>24 shots of crackling comets, whistles and floral</t>
  </si>
  <si>
    <t xml:space="preserve"> bursts</t>
  </si>
  <si>
    <t>25 shots green tails to spinning whistles at 25 m</t>
  </si>
  <si>
    <t xml:space="preserve">25 shots crackling tails exploding to huge florals   </t>
  </si>
  <si>
    <t>of red, blue and green and crackling stars with</t>
  </si>
  <si>
    <t xml:space="preserve"> finale shot!</t>
  </si>
  <si>
    <t>25 shots of golden chrysanthemums with white</t>
  </si>
  <si>
    <t xml:space="preserve"> strobe.</t>
  </si>
  <si>
    <t>37 shots of white comets with spinning silver</t>
  </si>
  <si>
    <t>whistles ending with large multi-coloured peonies</t>
  </si>
  <si>
    <t xml:space="preserve"> to 25 meters.</t>
  </si>
  <si>
    <t>37 shots of red, green and blue stars w/whistling</t>
  </si>
  <si>
    <t>purple stars ending with large bursts of crackling</t>
  </si>
  <si>
    <t xml:space="preserve"> rain to 25 meters.</t>
  </si>
  <si>
    <t>35 shots of silver screaming whistles to red, blue</t>
  </si>
  <si>
    <t xml:space="preserve">stars &amp; green stars in rapid succession, green </t>
  </si>
  <si>
    <t xml:space="preserve">tail to buzzing stars &amp; spiraling silver tails to </t>
  </si>
  <si>
    <t>bursts of blue, green, orange and purple to 50 m</t>
  </si>
  <si>
    <t xml:space="preserve">purple stars with whistles to bursts of blue with </t>
  </si>
  <si>
    <t>purple and crackling stars to 25 meters.</t>
  </si>
  <si>
    <t xml:space="preserve">25 crackling tails to red, blue, green and purple </t>
  </si>
  <si>
    <t>palms</t>
  </si>
  <si>
    <t xml:space="preserve">37 shots of brilliant white comets, w/green and </t>
  </si>
  <si>
    <t>25 blue tails to huge blue flowers with twilight</t>
  </si>
  <si>
    <t xml:space="preserve"> glitter and strobing stars</t>
  </si>
  <si>
    <t xml:space="preserve">61 shots of red, green, blue, purple and yellow </t>
  </si>
  <si>
    <t>stars with crackling comets, whistles and multi-</t>
  </si>
  <si>
    <t>coloured floral bursts to 25 meters.</t>
  </si>
  <si>
    <t xml:space="preserve">25 shots of alternating green, blue, gold and </t>
  </si>
  <si>
    <t>crackling tails to huge golden crackling floral</t>
  </si>
  <si>
    <t xml:space="preserve"> bursts in quick succession.</t>
  </si>
  <si>
    <t>blue, red and purple flowers w/red to silver stars</t>
  </si>
  <si>
    <t xml:space="preserve">25 shots of silver snakes to red and green stars, </t>
  </si>
  <si>
    <t xml:space="preserve">white glitter tails to large bursts of orange, aqua, </t>
  </si>
  <si>
    <t>purple and white strobe to 25 meters.</t>
  </si>
  <si>
    <t xml:space="preserve">100 shots of pearls to bursts in </t>
  </si>
  <si>
    <t>windshield wiper pattern</t>
  </si>
  <si>
    <t xml:space="preserve">angle fired palm trees, whistles, comets and </t>
  </si>
  <si>
    <t>purple mines</t>
  </si>
  <si>
    <t xml:space="preserve">angle fired willows, crackling comets and floral </t>
  </si>
  <si>
    <t>bursts.</t>
  </si>
  <si>
    <t xml:space="preserve">loud crackle mines, red and white comets and </t>
  </si>
  <si>
    <t>florals</t>
  </si>
  <si>
    <t>60 shots of red, green, yellow and blue hummers</t>
  </si>
  <si>
    <t xml:space="preserve">100 shots of crackling bursts, crackling and </t>
  </si>
  <si>
    <t>coloured comets</t>
  </si>
  <si>
    <t xml:space="preserve">silver fountain to burst of coloured and crackling </t>
  </si>
  <si>
    <t xml:space="preserve">massive burst of gold crackling stars with loud </t>
  </si>
  <si>
    <t>detonation</t>
  </si>
  <si>
    <t xml:space="preserve">Blue Ring with </t>
  </si>
  <si>
    <t>Crackling Pistil</t>
  </si>
  <si>
    <t xml:space="preserve">Red Ring with </t>
  </si>
  <si>
    <t>shoots to 25 meters a blue ring with a silver</t>
  </si>
  <si>
    <t>crackling pistil</t>
  </si>
  <si>
    <t>shoots to 25 meters a red ring with a silver</t>
  </si>
  <si>
    <t xml:space="preserve">four fountains of multi-coloured and crackling </t>
  </si>
  <si>
    <t>stars.</t>
  </si>
  <si>
    <t xml:space="preserve">70 Shot Crackling </t>
  </si>
  <si>
    <t>Barrage</t>
  </si>
  <si>
    <t>effect</t>
  </si>
  <si>
    <t>8 stars bursting to multi-coloured flowers at 25 m</t>
  </si>
  <si>
    <t>Jumbo Bloom Flower</t>
  </si>
  <si>
    <t xml:space="preserve">spins on ground with silver sparks and crackling  </t>
  </si>
  <si>
    <t xml:space="preserve">19 gold tails to bursts of multicoloured fish to </t>
  </si>
  <si>
    <t xml:space="preserve">a jumbo barrage of 56 white strobe, multicolour </t>
  </si>
  <si>
    <t>and crackling star bursts - spectacular effect</t>
  </si>
  <si>
    <t xml:space="preserve">70 gold crackling stars to 25 meters-spectacular </t>
  </si>
  <si>
    <t>30"x16" Vulcan bags 1000 ct</t>
  </si>
  <si>
    <t>CONTINUED ON BACK</t>
  </si>
  <si>
    <t>144</t>
  </si>
  <si>
    <t>SMART DISTRIBUTING / Gary Smith</t>
  </si>
  <si>
    <t>427 Townsend Rd., Stirling ON,  K0K 3E0</t>
  </si>
  <si>
    <t>Office: 1-613-477-2798  Toll Free: 1-888-887-8879  Fax: 1-613-477-2415</t>
  </si>
  <si>
    <t xml:space="preserve">Office: 1-613-477-2798 Toll Free: 1-888-887-8879  Fax: 1-613-477-2415 </t>
  </si>
  <si>
    <t>PO#</t>
  </si>
  <si>
    <t>PO #</t>
  </si>
  <si>
    <t>652V</t>
  </si>
  <si>
    <t>615V</t>
  </si>
  <si>
    <t>634V</t>
  </si>
  <si>
    <t>649V</t>
  </si>
  <si>
    <t>516V</t>
  </si>
  <si>
    <t>517V</t>
  </si>
  <si>
    <t>512V</t>
  </si>
  <si>
    <t>518V</t>
  </si>
  <si>
    <t>620V</t>
  </si>
  <si>
    <t>621V</t>
  </si>
  <si>
    <t>622V</t>
  </si>
  <si>
    <t>519V</t>
  </si>
  <si>
    <t>623V</t>
  </si>
  <si>
    <t>624V</t>
  </si>
  <si>
    <t>625V</t>
  </si>
  <si>
    <t>626V</t>
  </si>
  <si>
    <t>627V</t>
  </si>
  <si>
    <t>665V</t>
  </si>
  <si>
    <t>666V</t>
  </si>
  <si>
    <t>667V</t>
  </si>
  <si>
    <t>668V</t>
  </si>
  <si>
    <t>669V</t>
  </si>
  <si>
    <t>670V</t>
  </si>
  <si>
    <t xml:space="preserve">Date: </t>
  </si>
  <si>
    <t xml:space="preserve">Sold To: </t>
  </si>
  <si>
    <t>2-609</t>
  </si>
  <si>
    <t>Cell: 1-289-260-6623      Email: gary@smartdistributing.ca</t>
  </si>
  <si>
    <t xml:space="preserve">Ace of Spades </t>
  </si>
  <si>
    <t xml:space="preserve">Hell Breaks Loose </t>
  </si>
  <si>
    <t xml:space="preserve">Knockout Punch </t>
  </si>
  <si>
    <t xml:space="preserve">High Voltage </t>
  </si>
  <si>
    <t>Scorpion Sting</t>
  </si>
  <si>
    <t>Howl at the Moon</t>
  </si>
  <si>
    <t>Zodiac</t>
  </si>
  <si>
    <t xml:space="preserve">TNT Assortment </t>
  </si>
  <si>
    <t xml:space="preserve">Shotgun Shells </t>
  </si>
  <si>
    <t>12 Ball Roman Candle</t>
  </si>
  <si>
    <t>13 Ball Roman Candle</t>
  </si>
  <si>
    <t xml:space="preserve">Carnivale </t>
  </si>
  <si>
    <t xml:space="preserve">Fat Tuesday </t>
  </si>
  <si>
    <t>Jubilee Fountain</t>
  </si>
  <si>
    <t xml:space="preserve">Slingshot </t>
  </si>
  <si>
    <t>HST 13%</t>
  </si>
  <si>
    <t>* Promotional items are net priced and are not subject to any discounts</t>
  </si>
  <si>
    <t>2-683</t>
  </si>
  <si>
    <r>
      <t xml:space="preserve">Headbanger - </t>
    </r>
    <r>
      <rPr>
        <b/>
        <sz val="10"/>
        <rFont val="Arial"/>
        <family val="2"/>
      </rPr>
      <t>NEW</t>
    </r>
  </si>
  <si>
    <t xml:space="preserve">25 shots of large spinning silver tails to bursts of </t>
  </si>
  <si>
    <t>24 crackling comets w/red &amp; green pearls to 15m</t>
  </si>
  <si>
    <t>colour and timed rain to 30 m.</t>
  </si>
  <si>
    <r>
      <t xml:space="preserve">Twilight Zone - </t>
    </r>
    <r>
      <rPr>
        <b/>
        <sz val="10"/>
        <rFont val="Arial"/>
        <family val="2"/>
      </rPr>
      <t>NEW</t>
    </r>
  </si>
  <si>
    <t xml:space="preserve">25 shots silver tails to lge white &amp; green bursts </t>
  </si>
  <si>
    <t>glitter w/red,blue,green&amp;crackling stars to 30m.</t>
  </si>
  <si>
    <r>
      <t xml:space="preserve">Black Magic - </t>
    </r>
    <r>
      <rPr>
        <b/>
        <sz val="10"/>
        <rFont val="Arial"/>
        <family val="2"/>
      </rPr>
      <t>NEW</t>
    </r>
  </si>
  <si>
    <t>25 shots red, green tails bursting to purple, green</t>
  </si>
  <si>
    <t>red &amp; blue w/ white glitter to 30 m.</t>
  </si>
  <si>
    <t>Parachute Battalion</t>
  </si>
  <si>
    <t xml:space="preserve">36 Canadian flag parachute to 30m for daytime </t>
  </si>
  <si>
    <t>use.</t>
  </si>
  <si>
    <t>peonies w/ finale</t>
  </si>
  <si>
    <r>
      <t xml:space="preserve">Ninja Star - </t>
    </r>
    <r>
      <rPr>
        <b/>
        <sz val="10"/>
        <rFont val="Arial"/>
        <family val="2"/>
      </rPr>
      <t>NEW</t>
    </r>
  </si>
  <si>
    <t xml:space="preserve">15 shots of gold and silver aloe, lemon coloured </t>
  </si>
  <si>
    <t>stars and timed rain to 25 m!</t>
  </si>
  <si>
    <t>45 shots white strobing comets w/blue stars</t>
  </si>
  <si>
    <t>flying fish, crackling mines, crackling comets</t>
  </si>
  <si>
    <t xml:space="preserve"> w/ large bursting crackling &amp; blue stars to 50 m</t>
  </si>
  <si>
    <r>
      <t>Zombie -</t>
    </r>
    <r>
      <rPr>
        <b/>
        <sz val="10"/>
        <rFont val="Arial"/>
        <family val="2"/>
      </rPr>
      <t>NEW</t>
    </r>
  </si>
  <si>
    <t>35 shots of rapidly fired multi-coloured tails to</t>
  </si>
  <si>
    <t>large bursts of bright crackling stars to 35 m.</t>
  </si>
  <si>
    <r>
      <t xml:space="preserve">Short Circuit - </t>
    </r>
    <r>
      <rPr>
        <b/>
        <sz val="10"/>
        <rFont val="Arial"/>
        <family val="2"/>
      </rPr>
      <t>NEW</t>
    </r>
  </si>
  <si>
    <t>30 red, green, blue, and yellow comets that zig-</t>
  </si>
  <si>
    <t>zag and whistle across the sky to 30 m!</t>
  </si>
  <si>
    <t>Ace of Spades</t>
  </si>
  <si>
    <t>Bandito</t>
  </si>
  <si>
    <t>Hell Breaks Loose</t>
  </si>
  <si>
    <t xml:space="preserve">Knockout Punch  </t>
  </si>
  <si>
    <t xml:space="preserve">25 alternating tails of red,green &amp; blue to huge </t>
  </si>
  <si>
    <t>2 driver wheel w/ whistle to red titanium flower</t>
  </si>
  <si>
    <t>12 Ball Candle</t>
  </si>
  <si>
    <t>13 Ball Candle</t>
  </si>
  <si>
    <t>Floral Bombshell</t>
  </si>
  <si>
    <t>shoots a tail bursting into colour stars with</t>
  </si>
  <si>
    <r>
      <t xml:space="preserve">Assortment - </t>
    </r>
    <r>
      <rPr>
        <b/>
        <sz val="10"/>
        <rFont val="Arial"/>
        <family val="2"/>
      </rPr>
      <t>NEW</t>
    </r>
  </si>
  <si>
    <t>crackling to 20 m.</t>
  </si>
  <si>
    <t>NOVELTIES, ETC</t>
  </si>
  <si>
    <t>Shotgun Shells</t>
  </si>
  <si>
    <r>
      <t xml:space="preserve">Smoking Cone - </t>
    </r>
    <r>
      <rPr>
        <b/>
        <sz val="10"/>
        <rFont val="Arial"/>
        <family val="2"/>
      </rPr>
      <t>NEW</t>
    </r>
  </si>
  <si>
    <t>Emits thick white smoke for 2 minutes</t>
  </si>
  <si>
    <t xml:space="preserve">Extra Large Punk </t>
  </si>
  <si>
    <t xml:space="preserve">19" extra large long punk sticks that last for 30 </t>
  </si>
  <si>
    <r>
      <t xml:space="preserve">Sticks - </t>
    </r>
    <r>
      <rPr>
        <b/>
        <sz val="10"/>
        <rFont val="Arial"/>
        <family val="2"/>
      </rPr>
      <t>NEW</t>
    </r>
  </si>
  <si>
    <t>minutes</t>
  </si>
  <si>
    <t>long lasting ftn w/ red &amp; white strobe stars,white</t>
  </si>
  <si>
    <t>plum,purple,yellow, green &amp; silver crackling stars!</t>
  </si>
  <si>
    <t>very long lasting ftn of multicolour &amp;crackling stars</t>
  </si>
  <si>
    <t>Fat Tuesday</t>
  </si>
  <si>
    <t>very long lasting ftn w/orange, blue &amp; green strobe</t>
  </si>
  <si>
    <t>white &amp; yellow plum, crackling silk &amp; snow pine.</t>
  </si>
  <si>
    <r>
      <t xml:space="preserve">Gold Glitter Mine- </t>
    </r>
    <r>
      <rPr>
        <b/>
        <sz val="10"/>
        <rFont val="Arial"/>
        <family val="2"/>
      </rPr>
      <t>NEW</t>
    </r>
  </si>
  <si>
    <t>a mine burst of gold glittering stars</t>
  </si>
  <si>
    <r>
      <t>Silver Glitter Mine-</t>
    </r>
    <r>
      <rPr>
        <b/>
        <sz val="10"/>
        <rFont val="Arial"/>
        <family val="2"/>
      </rPr>
      <t>NEW</t>
    </r>
  </si>
  <si>
    <t>a mine burst of silver glittering stars</t>
  </si>
  <si>
    <r>
      <t xml:space="preserve">Atom Bomb - </t>
    </r>
    <r>
      <rPr>
        <b/>
        <sz val="10"/>
        <rFont val="Arial"/>
        <family val="2"/>
      </rPr>
      <t>NEW</t>
    </r>
  </si>
  <si>
    <t xml:space="preserve">Ammo Crate </t>
  </si>
  <si>
    <t>REDONE WITH NEW ITEMS FOR 2011</t>
  </si>
  <si>
    <t>~ DESCRIPTIONS ~</t>
  </si>
  <si>
    <t>~ DESCRIPTIONS (CONT'D) ~</t>
  </si>
  <si>
    <r>
      <t>Floral Bombshell Asst. -</t>
    </r>
    <r>
      <rPr>
        <b/>
        <sz val="11"/>
        <rFont val="Arial"/>
        <family val="2"/>
      </rPr>
      <t>NEW</t>
    </r>
  </si>
  <si>
    <r>
      <t>Extra Lge Punk Sticks -</t>
    </r>
    <r>
      <rPr>
        <b/>
        <sz val="11"/>
        <rFont val="Arial"/>
        <family val="2"/>
      </rPr>
      <t xml:space="preserve"> NEW</t>
    </r>
  </si>
  <si>
    <t>SMC01</t>
  </si>
  <si>
    <t>SSM2507</t>
  </si>
  <si>
    <t>SMC19</t>
  </si>
  <si>
    <t>SSM2521</t>
  </si>
  <si>
    <t>SMC15</t>
  </si>
  <si>
    <t>SM0666</t>
  </si>
  <si>
    <t>SSM0689</t>
  </si>
  <si>
    <t>SMC34</t>
  </si>
  <si>
    <t>SMC31</t>
  </si>
  <si>
    <t>SMC28</t>
  </si>
  <si>
    <t>SMC20</t>
  </si>
  <si>
    <t>SM0628</t>
  </si>
  <si>
    <t>SMC39</t>
  </si>
  <si>
    <t>SMC26</t>
  </si>
  <si>
    <t>SM064</t>
  </si>
  <si>
    <t>SMC18</t>
  </si>
  <si>
    <t>SMC201</t>
  </si>
  <si>
    <t>SM0667</t>
  </si>
  <si>
    <t>SMC204-30</t>
  </si>
  <si>
    <t>SMC29</t>
  </si>
  <si>
    <t>SSM0745</t>
  </si>
  <si>
    <t>SMC25</t>
  </si>
  <si>
    <t>SSM0750</t>
  </si>
  <si>
    <t>SMC33</t>
  </si>
  <si>
    <t>SMC214</t>
  </si>
  <si>
    <t>SMC215</t>
  </si>
  <si>
    <t>SMC210</t>
  </si>
  <si>
    <t>SMC213</t>
  </si>
  <si>
    <t>SMC27</t>
  </si>
  <si>
    <t>SMC23</t>
  </si>
  <si>
    <t>SMC22</t>
  </si>
  <si>
    <t>SMC216</t>
  </si>
  <si>
    <t>SMC36</t>
  </si>
  <si>
    <t>SMC37</t>
  </si>
  <si>
    <t>SMC40</t>
  </si>
  <si>
    <t>SMC205</t>
  </si>
  <si>
    <t>SMC38</t>
  </si>
  <si>
    <t>SMC35</t>
  </si>
  <si>
    <t>SMC207</t>
  </si>
  <si>
    <t>SMC208</t>
  </si>
  <si>
    <t>SMC206</t>
  </si>
  <si>
    <t>SMC209</t>
  </si>
  <si>
    <t>SMC32</t>
  </si>
  <si>
    <t>SMC203</t>
  </si>
  <si>
    <t>SMC217</t>
  </si>
  <si>
    <t>SM0442</t>
  </si>
  <si>
    <t>SMC10</t>
  </si>
  <si>
    <t>SMC11</t>
  </si>
  <si>
    <t>SMC12</t>
  </si>
  <si>
    <t>SMC24</t>
  </si>
  <si>
    <t>MC163C</t>
  </si>
  <si>
    <t>MC163A</t>
  </si>
  <si>
    <t>MC163B</t>
  </si>
  <si>
    <t>MC173A</t>
  </si>
  <si>
    <t>MC173C</t>
  </si>
  <si>
    <t>MC173B</t>
  </si>
  <si>
    <t>MC164</t>
  </si>
  <si>
    <t>MC175C</t>
  </si>
  <si>
    <t>MC175A</t>
  </si>
  <si>
    <t>MC177</t>
  </si>
  <si>
    <t>MC177C</t>
  </si>
  <si>
    <t>MC177B</t>
  </si>
  <si>
    <t>MC177D</t>
  </si>
  <si>
    <t>MC177A</t>
  </si>
  <si>
    <t>MC177EC</t>
  </si>
  <si>
    <t>MC34-7LU</t>
  </si>
  <si>
    <t>RC15UM</t>
  </si>
  <si>
    <t>RC16UM</t>
  </si>
  <si>
    <t>RC17UM</t>
  </si>
  <si>
    <t>RC19UM</t>
  </si>
  <si>
    <t>RC20UM</t>
  </si>
  <si>
    <t>RC13UM</t>
  </si>
  <si>
    <t>MC328UM</t>
  </si>
  <si>
    <t>MC329UM</t>
  </si>
  <si>
    <t>MC327UM</t>
  </si>
  <si>
    <t>MC323UM</t>
  </si>
  <si>
    <t>RC372LU</t>
  </si>
  <si>
    <t>RC374LU</t>
  </si>
  <si>
    <t>RC370LU</t>
  </si>
  <si>
    <t>RC373LU</t>
  </si>
  <si>
    <t>F1005</t>
  </si>
  <si>
    <t>F180</t>
  </si>
  <si>
    <t>SFR01</t>
  </si>
  <si>
    <t>SFR02</t>
  </si>
  <si>
    <t>SFC03B</t>
  </si>
  <si>
    <t>SFC03C</t>
  </si>
  <si>
    <t>F671</t>
  </si>
  <si>
    <t>F300</t>
  </si>
  <si>
    <t>F814</t>
  </si>
  <si>
    <t>F301</t>
  </si>
  <si>
    <t>MCF10</t>
  </si>
  <si>
    <t>DS06C</t>
  </si>
  <si>
    <t>DSO6T</t>
  </si>
  <si>
    <t>DSO7A</t>
  </si>
  <si>
    <t>DS97B</t>
  </si>
  <si>
    <t>DS04</t>
  </si>
  <si>
    <t>DS08</t>
  </si>
  <si>
    <t>DS1400Q</t>
  </si>
  <si>
    <t>DS1400R</t>
  </si>
  <si>
    <t>DS1400K</t>
  </si>
  <si>
    <t>DS1400I</t>
  </si>
  <si>
    <t>DS1400</t>
  </si>
  <si>
    <t>DS1400D</t>
  </si>
  <si>
    <t>DS1400E</t>
  </si>
  <si>
    <t>DS1400J</t>
  </si>
  <si>
    <t>DS1400P</t>
  </si>
  <si>
    <t>DS900B</t>
  </si>
  <si>
    <t>DSS200B</t>
  </si>
  <si>
    <t>DSS200A</t>
  </si>
  <si>
    <t>DS200F</t>
  </si>
  <si>
    <t>DSS200C</t>
  </si>
  <si>
    <t>DSS200S</t>
  </si>
  <si>
    <t>DS201</t>
  </si>
  <si>
    <t>DS200BG</t>
  </si>
  <si>
    <t>DS202</t>
  </si>
  <si>
    <t>DS200RW</t>
  </si>
  <si>
    <t>DS200BR</t>
  </si>
  <si>
    <t>SP10</t>
  </si>
  <si>
    <t>SP14</t>
  </si>
  <si>
    <t>SP24</t>
  </si>
  <si>
    <t>GWC10</t>
  </si>
  <si>
    <t>SGW901B</t>
  </si>
  <si>
    <t>VMF01</t>
  </si>
  <si>
    <t>M25</t>
  </si>
  <si>
    <t>SGW901BL</t>
  </si>
  <si>
    <t>DFC11</t>
  </si>
  <si>
    <t>SGW210C</t>
  </si>
  <si>
    <t>BS01</t>
  </si>
  <si>
    <t>SSC03</t>
  </si>
  <si>
    <t>SVR06</t>
  </si>
  <si>
    <t>SVR07</t>
  </si>
  <si>
    <t>SVR08</t>
  </si>
  <si>
    <t>SVR04</t>
  </si>
  <si>
    <t>SVR12</t>
  </si>
  <si>
    <t>SVR13</t>
  </si>
  <si>
    <t>SVR03</t>
  </si>
  <si>
    <t>SVR01</t>
  </si>
  <si>
    <t>SVR09</t>
  </si>
  <si>
    <t>SVR02</t>
  </si>
  <si>
    <t>SVR10</t>
  </si>
  <si>
    <t>SVR14</t>
  </si>
  <si>
    <t>SVR05</t>
  </si>
  <si>
    <t>SVR11</t>
  </si>
  <si>
    <t>SVR15</t>
  </si>
  <si>
    <t>N/A</t>
  </si>
  <si>
    <t>PWC10</t>
  </si>
  <si>
    <t>SMC212-100</t>
  </si>
  <si>
    <t>Dragonfly  - NEW</t>
  </si>
  <si>
    <t>SMC01-01</t>
  </si>
  <si>
    <t>Ladybug  - NEW</t>
  </si>
  <si>
    <t>SMC01-02</t>
  </si>
  <si>
    <t>Firefly  - NEW</t>
  </si>
  <si>
    <t>SMC01-03</t>
  </si>
  <si>
    <t>Warhead Launcher  - NEW</t>
  </si>
  <si>
    <t>SMC41</t>
  </si>
  <si>
    <t xml:space="preserve">Short Circuit </t>
  </si>
  <si>
    <t xml:space="preserve">Ninja Star </t>
  </si>
  <si>
    <t>Snakebite  - NEW</t>
  </si>
  <si>
    <t>SMC219</t>
  </si>
  <si>
    <t xml:space="preserve">Bandito </t>
  </si>
  <si>
    <t>Nightmare  - NEW</t>
  </si>
  <si>
    <t>SMC218</t>
  </si>
  <si>
    <t>Jumbo Warhead Launcher  - NEW</t>
  </si>
  <si>
    <t>SMC42</t>
  </si>
  <si>
    <t>Head Banger</t>
  </si>
  <si>
    <t xml:space="preserve">Twilight Zone </t>
  </si>
  <si>
    <t>Black Magic</t>
  </si>
  <si>
    <t xml:space="preserve">Parachute Battalion </t>
  </si>
  <si>
    <t>Zombie</t>
  </si>
  <si>
    <t>Medusa  - NEW</t>
  </si>
  <si>
    <t>SMC221</t>
  </si>
  <si>
    <t>Nemesis  - NEW</t>
  </si>
  <si>
    <t>SMC44</t>
  </si>
  <si>
    <t>CAKES CONT'D</t>
  </si>
  <si>
    <t>Crazy Ghosts  - NEW</t>
  </si>
  <si>
    <t>SMC220</t>
  </si>
  <si>
    <t>Grim Reaper  - NEW</t>
  </si>
  <si>
    <t>SMC43</t>
  </si>
  <si>
    <t>Vicious Circle  - NEW</t>
  </si>
  <si>
    <t>SMC222</t>
  </si>
  <si>
    <t>Volcanic Eruption  - NEW</t>
  </si>
  <si>
    <t>SF855</t>
  </si>
  <si>
    <t>Mexican Junmping Beans  - NEW</t>
  </si>
  <si>
    <t>SF854</t>
  </si>
  <si>
    <t xml:space="preserve">Gold Glitter Mine </t>
  </si>
  <si>
    <t>Silver Glitter Mine</t>
  </si>
  <si>
    <t xml:space="preserve">Smoking Cone </t>
  </si>
  <si>
    <t>Cherry Bomb Box  - NEW</t>
  </si>
  <si>
    <t>SVR17</t>
  </si>
  <si>
    <t>Atom Bomb Asst.</t>
  </si>
  <si>
    <t>Zombie Survival Kit  - NEW</t>
  </si>
  <si>
    <t>SVR16</t>
  </si>
  <si>
    <t>SMC204</t>
  </si>
  <si>
    <t>DS06A</t>
  </si>
  <si>
    <r>
      <rPr>
        <b/>
        <sz val="24"/>
        <color indexed="9"/>
        <rFont val="Arial"/>
        <family val="2"/>
      </rPr>
      <t xml:space="preserve">                2012</t>
    </r>
    <r>
      <rPr>
        <b/>
        <sz val="21"/>
        <color indexed="9"/>
        <rFont val="Arial"/>
        <family val="2"/>
      </rPr>
      <t xml:space="preserve"> VULCAN PRICELIST AND ORDER FORM    PAGE 2</t>
    </r>
  </si>
  <si>
    <r>
      <rPr>
        <b/>
        <sz val="24"/>
        <color indexed="9"/>
        <rFont val="Arial"/>
        <family val="2"/>
      </rPr>
      <t>2012</t>
    </r>
    <r>
      <rPr>
        <b/>
        <sz val="21"/>
        <color indexed="9"/>
        <rFont val="Arial"/>
        <family val="2"/>
      </rPr>
      <t xml:space="preserve"> VULCAN PRICELIST AND ORDER FORM    PAGE 1</t>
    </r>
  </si>
</sst>
</file>

<file path=xl/styles.xml><?xml version="1.0" encoding="utf-8"?>
<styleSheet xmlns="http://schemas.openxmlformats.org/spreadsheetml/2006/main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43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9"/>
      <color indexed="9"/>
      <name val="Arial"/>
      <family val="2"/>
    </font>
    <font>
      <sz val="7"/>
      <name val="Arial"/>
      <family val="2"/>
    </font>
    <font>
      <sz val="12"/>
      <name val="Arial"/>
      <family val="2"/>
    </font>
    <font>
      <b/>
      <sz val="8"/>
      <color indexed="9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b/>
      <sz val="12"/>
      <color indexed="9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8"/>
      <name val="Times New Roman"/>
      <family val="1"/>
    </font>
    <font>
      <b/>
      <sz val="16"/>
      <name val="Times New Roman"/>
      <family val="1"/>
    </font>
    <font>
      <sz val="13"/>
      <name val="Arial"/>
      <family val="2"/>
    </font>
    <font>
      <b/>
      <sz val="13"/>
      <color indexed="9"/>
      <name val="Arial"/>
      <family val="2"/>
    </font>
    <font>
      <b/>
      <i/>
      <sz val="1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4"/>
      <name val="Times New Roman"/>
      <family val="1"/>
    </font>
    <font>
      <b/>
      <i/>
      <sz val="14"/>
      <name val="Arial"/>
      <family val="2"/>
    </font>
    <font>
      <b/>
      <i/>
      <sz val="16"/>
      <name val="Arial"/>
      <family val="2"/>
    </font>
    <font>
      <b/>
      <sz val="11"/>
      <color indexed="9"/>
      <name val="Arial"/>
      <family val="2"/>
    </font>
    <font>
      <b/>
      <i/>
      <sz val="11"/>
      <name val="Arial"/>
      <family val="2"/>
    </font>
    <font>
      <b/>
      <sz val="11"/>
      <name val="Times New Roman"/>
      <family val="1"/>
    </font>
    <font>
      <b/>
      <sz val="20"/>
      <name val="Arial"/>
      <family val="2"/>
    </font>
    <font>
      <b/>
      <sz val="21"/>
      <color indexed="9"/>
      <name val="Arial"/>
      <family val="2"/>
    </font>
    <font>
      <b/>
      <sz val="24"/>
      <color indexed="9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0"/>
      <color theme="0"/>
      <name val="Arial"/>
      <family val="2"/>
    </font>
    <font>
      <b/>
      <sz val="22"/>
      <color theme="0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21"/>
      <color theme="0"/>
      <name val="Arial"/>
      <family val="2"/>
    </font>
    <font>
      <u/>
      <sz val="11"/>
      <color theme="10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</cellStyleXfs>
  <cellXfs count="382">
    <xf numFmtId="0" fontId="0" fillId="0" borderId="0" xfId="0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0" fillId="0" borderId="0" xfId="0" applyBorder="1" applyAlignment="1"/>
    <xf numFmtId="0" fontId="0" fillId="0" borderId="0" xfId="0" applyFill="1" applyBorder="1"/>
    <xf numFmtId="0" fontId="0" fillId="0" borderId="0" xfId="0" applyBorder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7" fillId="0" borderId="0" xfId="0" applyFont="1"/>
    <xf numFmtId="0" fontId="10" fillId="0" borderId="0" xfId="0" applyFont="1" applyBorder="1"/>
    <xf numFmtId="0" fontId="10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0" fillId="0" borderId="0" xfId="0" applyFont="1" applyFill="1" applyBorder="1"/>
    <xf numFmtId="0" fontId="6" fillId="0" borderId="0" xfId="0" applyFont="1" applyBorder="1" applyAlignment="1">
      <alignment horizontal="left"/>
    </xf>
    <xf numFmtId="0" fontId="2" fillId="0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14" fillId="0" borderId="0" xfId="0" applyFont="1"/>
    <xf numFmtId="0" fontId="14" fillId="0" borderId="0" xfId="0" applyFont="1" applyAlignment="1"/>
    <xf numFmtId="0" fontId="2" fillId="0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Border="1" applyAlignment="1">
      <alignment horizontal="left"/>
    </xf>
    <xf numFmtId="0" fontId="0" fillId="0" borderId="0" xfId="0" applyFill="1"/>
    <xf numFmtId="0" fontId="10" fillId="0" borderId="0" xfId="0" applyFont="1" applyFill="1"/>
    <xf numFmtId="0" fontId="13" fillId="0" borderId="0" xfId="0" applyFont="1" applyAlignment="1"/>
    <xf numFmtId="0" fontId="12" fillId="0" borderId="0" xfId="0" applyFont="1" applyAlignment="1"/>
    <xf numFmtId="0" fontId="12" fillId="0" borderId="0" xfId="0" applyFont="1" applyFill="1" applyAlignment="1"/>
    <xf numFmtId="0" fontId="0" fillId="0" borderId="0" xfId="0" applyFill="1" applyBorder="1" applyAlignment="1"/>
    <xf numFmtId="0" fontId="8" fillId="0" borderId="0" xfId="0" applyFont="1" applyFill="1" applyBorder="1" applyAlignment="1"/>
    <xf numFmtId="0" fontId="35" fillId="3" borderId="2" xfId="0" applyFont="1" applyFill="1" applyBorder="1"/>
    <xf numFmtId="0" fontId="35" fillId="3" borderId="1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15" fillId="0" borderId="4" xfId="0" applyFont="1" applyFill="1" applyBorder="1" applyAlignment="1">
      <alignment horizontal="left"/>
    </xf>
    <xf numFmtId="0" fontId="15" fillId="0" borderId="5" xfId="0" applyFont="1" applyFill="1" applyBorder="1" applyAlignment="1">
      <alignment horizontal="left"/>
    </xf>
    <xf numFmtId="0" fontId="15" fillId="0" borderId="6" xfId="0" applyFont="1" applyFill="1" applyBorder="1" applyAlignment="1">
      <alignment horizontal="left"/>
    </xf>
    <xf numFmtId="0" fontId="3" fillId="2" borderId="3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5" xfId="0" applyFont="1" applyFill="1" applyBorder="1" applyAlignment="1"/>
    <xf numFmtId="0" fontId="3" fillId="2" borderId="6" xfId="0" applyFont="1" applyFill="1" applyBorder="1" applyAlignment="1"/>
    <xf numFmtId="0" fontId="0" fillId="0" borderId="0" xfId="0" applyAlignment="1">
      <alignment horizontal="center"/>
    </xf>
    <xf numFmtId="0" fontId="16" fillId="0" borderId="0" xfId="0" applyFont="1"/>
    <xf numFmtId="0" fontId="12" fillId="0" borderId="0" xfId="0" applyFont="1"/>
    <xf numFmtId="0" fontId="15" fillId="0" borderId="0" xfId="0" applyFont="1"/>
    <xf numFmtId="0" fontId="2" fillId="0" borderId="0" xfId="0" applyFont="1"/>
    <xf numFmtId="0" fontId="7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/>
    <xf numFmtId="0" fontId="17" fillId="0" borderId="0" xfId="0" applyFont="1" applyAlignment="1">
      <alignment horizontal="left"/>
    </xf>
    <xf numFmtId="0" fontId="0" fillId="4" borderId="0" xfId="0" applyFill="1"/>
    <xf numFmtId="0" fontId="7" fillId="4" borderId="0" xfId="0" applyFont="1" applyFill="1"/>
    <xf numFmtId="0" fontId="14" fillId="4" borderId="0" xfId="0" applyFont="1" applyFill="1"/>
    <xf numFmtId="0" fontId="2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4" fillId="0" borderId="0" xfId="0" applyFont="1" applyBorder="1" applyAlignment="1"/>
    <xf numFmtId="164" fontId="18" fillId="0" borderId="7" xfId="0" applyNumberFormat="1" applyFont="1" applyBorder="1"/>
    <xf numFmtId="0" fontId="19" fillId="2" borderId="1" xfId="0" applyFont="1" applyFill="1" applyBorder="1" applyAlignment="1">
      <alignment horizontal="center"/>
    </xf>
    <xf numFmtId="0" fontId="18" fillId="0" borderId="0" xfId="0" applyFont="1"/>
    <xf numFmtId="0" fontId="19" fillId="2" borderId="8" xfId="0" applyFont="1" applyFill="1" applyBorder="1" applyAlignment="1">
      <alignment horizontal="center"/>
    </xf>
    <xf numFmtId="164" fontId="20" fillId="0" borderId="9" xfId="0" applyNumberFormat="1" applyFont="1" applyBorder="1" applyAlignment="1">
      <alignment horizontal="right"/>
    </xf>
    <xf numFmtId="0" fontId="18" fillId="4" borderId="0" xfId="0" applyFont="1" applyFill="1"/>
    <xf numFmtId="0" fontId="18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Fill="1" applyBorder="1" applyAlignment="1">
      <alignment horizontal="left"/>
    </xf>
    <xf numFmtId="0" fontId="36" fillId="5" borderId="0" xfId="0" applyFont="1" applyFill="1" applyAlignment="1">
      <alignment horizontal="center"/>
    </xf>
    <xf numFmtId="0" fontId="1" fillId="0" borderId="3" xfId="0" applyFont="1" applyFill="1" applyBorder="1" applyAlignment="1">
      <alignment horizontal="left"/>
    </xf>
    <xf numFmtId="0" fontId="0" fillId="4" borderId="0" xfId="0" applyFill="1" applyAlignment="1"/>
    <xf numFmtId="0" fontId="0" fillId="0" borderId="0" xfId="0" applyAlignment="1"/>
    <xf numFmtId="0" fontId="21" fillId="0" borderId="0" xfId="0" applyFont="1" applyFill="1" applyBorder="1" applyAlignment="1">
      <alignment horizontal="left"/>
    </xf>
    <xf numFmtId="44" fontId="0" fillId="0" borderId="0" xfId="1" applyFont="1"/>
    <xf numFmtId="44" fontId="2" fillId="0" borderId="0" xfId="1" applyFont="1" applyFill="1" applyAlignment="1">
      <alignment horizontal="center"/>
    </xf>
    <xf numFmtId="44" fontId="13" fillId="0" borderId="0" xfId="1" applyFont="1" applyAlignment="1">
      <alignment horizontal="center"/>
    </xf>
    <xf numFmtId="44" fontId="18" fillId="0" borderId="0" xfId="1" applyFont="1"/>
    <xf numFmtId="44" fontId="17" fillId="0" borderId="0" xfId="1" applyFont="1" applyAlignment="1"/>
    <xf numFmtId="0" fontId="1" fillId="0" borderId="0" xfId="0" applyFont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0" xfId="0" applyFont="1" applyBorder="1"/>
    <xf numFmtId="0" fontId="1" fillId="0" borderId="10" xfId="0" applyFont="1" applyFill="1" applyBorder="1" applyAlignment="1">
      <alignment horizontal="left"/>
    </xf>
    <xf numFmtId="0" fontId="1" fillId="0" borderId="11" xfId="0" applyFont="1" applyBorder="1"/>
    <xf numFmtId="0" fontId="1" fillId="0" borderId="10" xfId="0" applyFont="1" applyFill="1" applyBorder="1" applyAlignment="1"/>
    <xf numFmtId="0" fontId="1" fillId="0" borderId="11" xfId="0" applyFont="1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1" xfId="0" applyFont="1" applyBorder="1"/>
    <xf numFmtId="0" fontId="1" fillId="0" borderId="5" xfId="0" applyFont="1" applyFill="1" applyBorder="1" applyAlignment="1">
      <alignment horizontal="left"/>
    </xf>
    <xf numFmtId="0" fontId="1" fillId="0" borderId="8" xfId="0" applyFont="1" applyBorder="1"/>
    <xf numFmtId="0" fontId="1" fillId="0" borderId="5" xfId="0" applyFont="1" applyFill="1" applyBorder="1" applyAlignment="1"/>
    <xf numFmtId="0" fontId="1" fillId="0" borderId="8" xfId="0" applyFont="1" applyFill="1" applyBorder="1" applyAlignment="1"/>
    <xf numFmtId="0" fontId="1" fillId="0" borderId="4" xfId="0" applyFont="1" applyFill="1" applyBorder="1" applyAlignment="1">
      <alignment horizontal="left"/>
    </xf>
    <xf numFmtId="0" fontId="1" fillId="0" borderId="12" xfId="0" applyFont="1" applyBorder="1"/>
    <xf numFmtId="0" fontId="1" fillId="0" borderId="12" xfId="0" applyFont="1" applyFill="1" applyBorder="1" applyAlignment="1">
      <alignment horizontal="left"/>
    </xf>
    <xf numFmtId="0" fontId="1" fillId="0" borderId="9" xfId="0" applyFont="1" applyBorder="1"/>
    <xf numFmtId="0" fontId="1" fillId="0" borderId="11" xfId="0" applyFont="1" applyFill="1" applyBorder="1" applyAlignment="1">
      <alignment horizontal="left"/>
    </xf>
    <xf numFmtId="0" fontId="1" fillId="0" borderId="6" xfId="0" applyFont="1" applyBorder="1"/>
    <xf numFmtId="0" fontId="1" fillId="0" borderId="8" xfId="0" applyFont="1" applyFill="1" applyBorder="1" applyAlignment="1">
      <alignment horizontal="left"/>
    </xf>
    <xf numFmtId="0" fontId="1" fillId="0" borderId="4" xfId="0" applyFont="1" applyFill="1" applyBorder="1" applyAlignment="1"/>
    <xf numFmtId="0" fontId="1" fillId="0" borderId="12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3" xfId="0" applyFont="1" applyFill="1" applyBorder="1" applyAlignment="1">
      <alignment horizontal="left"/>
    </xf>
    <xf numFmtId="0" fontId="1" fillId="0" borderId="14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left"/>
    </xf>
    <xf numFmtId="0" fontId="1" fillId="0" borderId="14" xfId="0" applyFont="1" applyBorder="1"/>
    <xf numFmtId="0" fontId="1" fillId="0" borderId="9" xfId="0" applyFont="1" applyFill="1" applyBorder="1" applyAlignment="1"/>
    <xf numFmtId="0" fontId="4" fillId="0" borderId="0" xfId="0" applyFont="1"/>
    <xf numFmtId="0" fontId="1" fillId="0" borderId="3" xfId="0" applyFont="1" applyBorder="1"/>
    <xf numFmtId="0" fontId="1" fillId="0" borderId="5" xfId="0" applyFont="1" applyBorder="1"/>
    <xf numFmtId="0" fontId="1" fillId="0" borderId="10" xfId="0" applyFont="1" applyBorder="1" applyAlignment="1"/>
    <xf numFmtId="0" fontId="1" fillId="0" borderId="11" xfId="0" applyFont="1" applyBorder="1" applyAlignment="1"/>
    <xf numFmtId="0" fontId="1" fillId="0" borderId="5" xfId="0" applyFont="1" applyBorder="1" applyAlignment="1"/>
    <xf numFmtId="0" fontId="1" fillId="0" borderId="8" xfId="0" applyFont="1" applyBorder="1" applyAlignment="1"/>
    <xf numFmtId="0" fontId="1" fillId="0" borderId="6" xfId="0" applyFont="1" applyFill="1" applyBorder="1" applyAlignment="1"/>
    <xf numFmtId="0" fontId="1" fillId="0" borderId="10" xfId="0" applyFont="1" applyBorder="1"/>
    <xf numFmtId="0" fontId="1" fillId="0" borderId="11" xfId="0" applyFont="1" applyFill="1" applyBorder="1"/>
    <xf numFmtId="0" fontId="1" fillId="0" borderId="8" xfId="0" applyFont="1" applyFill="1" applyBorder="1"/>
    <xf numFmtId="0" fontId="1" fillId="0" borderId="7" xfId="0" applyFont="1" applyFill="1" applyBorder="1" applyAlignment="1">
      <alignment horizontal="left"/>
    </xf>
    <xf numFmtId="0" fontId="1" fillId="0" borderId="1" xfId="0" applyFont="1" applyFill="1" applyBorder="1"/>
    <xf numFmtId="0" fontId="13" fillId="0" borderId="0" xfId="0" applyFont="1" applyAlignment="1">
      <alignment horizontal="left"/>
    </xf>
    <xf numFmtId="0" fontId="37" fillId="4" borderId="0" xfId="0" applyFont="1" applyFill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38" fillId="4" borderId="0" xfId="0" applyFont="1" applyFill="1" applyAlignment="1">
      <alignment horizontal="center"/>
    </xf>
    <xf numFmtId="0" fontId="24" fillId="0" borderId="0" xfId="0" applyFont="1" applyAlignment="1"/>
    <xf numFmtId="0" fontId="24" fillId="0" borderId="0" xfId="0" applyFont="1" applyAlignment="1">
      <alignment horizontal="left"/>
    </xf>
    <xf numFmtId="0" fontId="1" fillId="0" borderId="0" xfId="0" applyFont="1" applyFill="1" applyBorder="1" applyAlignment="1"/>
    <xf numFmtId="0" fontId="21" fillId="0" borderId="3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left"/>
    </xf>
    <xf numFmtId="0" fontId="27" fillId="2" borderId="5" xfId="0" applyFont="1" applyFill="1" applyBorder="1" applyAlignment="1"/>
    <xf numFmtId="0" fontId="39" fillId="3" borderId="13" xfId="0" applyFont="1" applyFill="1" applyBorder="1" applyAlignment="1">
      <alignment horizontal="center"/>
    </xf>
    <xf numFmtId="0" fontId="27" fillId="2" borderId="6" xfId="0" applyFont="1" applyFill="1" applyBorder="1" applyAlignment="1">
      <alignment horizontal="center"/>
    </xf>
    <xf numFmtId="0" fontId="27" fillId="2" borderId="8" xfId="0" applyFont="1" applyFill="1" applyBorder="1" applyAlignment="1">
      <alignment horizontal="center"/>
    </xf>
    <xf numFmtId="164" fontId="21" fillId="0" borderId="0" xfId="0" applyNumberFormat="1" applyFont="1" applyBorder="1"/>
    <xf numFmtId="0" fontId="21" fillId="0" borderId="13" xfId="0" applyFont="1" applyBorder="1"/>
    <xf numFmtId="44" fontId="27" fillId="2" borderId="6" xfId="1" applyFont="1" applyFill="1" applyBorder="1" applyAlignment="1">
      <alignment horizontal="center"/>
    </xf>
    <xf numFmtId="0" fontId="21" fillId="0" borderId="3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7" xfId="0" applyFont="1" applyBorder="1" applyAlignment="1">
      <alignment horizontal="center"/>
    </xf>
    <xf numFmtId="44" fontId="21" fillId="0" borderId="7" xfId="1" applyFont="1" applyFill="1" applyBorder="1" applyAlignment="1"/>
    <xf numFmtId="0" fontId="21" fillId="0" borderId="1" xfId="0" applyFont="1" applyFill="1" applyBorder="1" applyAlignment="1" applyProtection="1">
      <alignment horizontal="center"/>
      <protection locked="0"/>
    </xf>
    <xf numFmtId="0" fontId="21" fillId="0" borderId="7" xfId="0" applyFont="1" applyBorder="1"/>
    <xf numFmtId="44" fontId="21" fillId="0" borderId="7" xfId="1" applyFont="1" applyBorder="1"/>
    <xf numFmtId="0" fontId="21" fillId="0" borderId="2" xfId="0" applyFont="1" applyFill="1" applyBorder="1" applyAlignment="1">
      <alignment horizontal="left"/>
    </xf>
    <xf numFmtId="44" fontId="21" fillId="0" borderId="1" xfId="1" applyFont="1" applyFill="1" applyBorder="1" applyAlignment="1"/>
    <xf numFmtId="0" fontId="21" fillId="0" borderId="7" xfId="0" applyFont="1" applyBorder="1" applyAlignment="1"/>
    <xf numFmtId="164" fontId="21" fillId="0" borderId="7" xfId="0" applyNumberFormat="1" applyFont="1" applyBorder="1"/>
    <xf numFmtId="49" fontId="21" fillId="0" borderId="7" xfId="0" applyNumberFormat="1" applyFont="1" applyFill="1" applyBorder="1" applyAlignment="1" applyProtection="1">
      <alignment horizontal="center"/>
      <protection locked="0"/>
    </xf>
    <xf numFmtId="0" fontId="21" fillId="0" borderId="5" xfId="0" applyFont="1" applyFill="1" applyBorder="1" applyAlignment="1">
      <alignment horizontal="left"/>
    </xf>
    <xf numFmtId="0" fontId="21" fillId="0" borderId="6" xfId="0" applyFont="1" applyFill="1" applyBorder="1" applyAlignment="1">
      <alignment horizontal="left"/>
    </xf>
    <xf numFmtId="0" fontId="27" fillId="4" borderId="0" xfId="0" applyFont="1" applyFill="1" applyBorder="1" applyAlignment="1">
      <alignment horizontal="center"/>
    </xf>
    <xf numFmtId="0" fontId="21" fillId="0" borderId="7" xfId="0" applyFont="1" applyFill="1" applyBorder="1" applyAlignment="1" applyProtection="1">
      <alignment horizontal="center"/>
      <protection locked="0"/>
    </xf>
    <xf numFmtId="0" fontId="27" fillId="2" borderId="3" xfId="0" applyFont="1" applyFill="1" applyBorder="1" applyAlignment="1">
      <alignment horizontal="left"/>
    </xf>
    <xf numFmtId="0" fontId="27" fillId="2" borderId="2" xfId="0" applyFont="1" applyFill="1" applyBorder="1" applyAlignment="1">
      <alignment horizontal="left"/>
    </xf>
    <xf numFmtId="0" fontId="21" fillId="2" borderId="7" xfId="0" applyFont="1" applyFill="1" applyBorder="1" applyAlignment="1">
      <alignment horizontal="center"/>
    </xf>
    <xf numFmtId="44" fontId="27" fillId="2" borderId="2" xfId="1" applyFont="1" applyFill="1" applyBorder="1" applyAlignment="1">
      <alignment horizontal="center"/>
    </xf>
    <xf numFmtId="0" fontId="27" fillId="2" borderId="2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1" fillId="3" borderId="7" xfId="0" applyFont="1" applyFill="1" applyBorder="1"/>
    <xf numFmtId="44" fontId="21" fillId="0" borderId="7" xfId="1" applyFont="1" applyFill="1" applyBorder="1" applyAlignment="1">
      <alignment horizontal="left"/>
    </xf>
    <xf numFmtId="0" fontId="27" fillId="2" borderId="7" xfId="0" applyFont="1" applyFill="1" applyBorder="1" applyAlignment="1">
      <alignment horizontal="center"/>
    </xf>
    <xf numFmtId="44" fontId="21" fillId="0" borderId="1" xfId="1" applyFont="1" applyBorder="1"/>
    <xf numFmtId="1" fontId="21" fillId="0" borderId="1" xfId="0" applyNumberFormat="1" applyFont="1" applyFill="1" applyBorder="1" applyAlignment="1" applyProtection="1">
      <alignment horizontal="center"/>
      <protection locked="0"/>
    </xf>
    <xf numFmtId="0" fontId="21" fillId="0" borderId="7" xfId="0" applyFont="1" applyBorder="1" applyAlignment="1">
      <alignment horizontal="left"/>
    </xf>
    <xf numFmtId="44" fontId="21" fillId="0" borderId="1" xfId="1" applyFont="1" applyFill="1" applyBorder="1" applyAlignment="1">
      <alignment horizontal="center"/>
    </xf>
    <xf numFmtId="0" fontId="21" fillId="0" borderId="7" xfId="0" applyNumberFormat="1" applyFont="1" applyFill="1" applyBorder="1" applyAlignment="1" applyProtection="1">
      <alignment horizontal="center"/>
      <protection locked="0"/>
    </xf>
    <xf numFmtId="0" fontId="21" fillId="0" borderId="0" xfId="0" applyFont="1"/>
    <xf numFmtId="0" fontId="27" fillId="2" borderId="3" xfId="0" applyFont="1" applyFill="1" applyBorder="1" applyAlignment="1"/>
    <xf numFmtId="0" fontId="21" fillId="0" borderId="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44" fontId="21" fillId="0" borderId="0" xfId="1" applyFont="1" applyFill="1" applyBorder="1" applyAlignment="1">
      <alignment horizontal="center"/>
    </xf>
    <xf numFmtId="0" fontId="21" fillId="0" borderId="0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Border="1"/>
    <xf numFmtId="44" fontId="21" fillId="0" borderId="0" xfId="1" applyFont="1"/>
    <xf numFmtId="0" fontId="21" fillId="0" borderId="0" xfId="0" applyFont="1" applyAlignment="1"/>
    <xf numFmtId="44" fontId="21" fillId="0" borderId="0" xfId="1" applyFont="1" applyAlignment="1"/>
    <xf numFmtId="0" fontId="21" fillId="0" borderId="0" xfId="0" applyFont="1" applyAlignment="1">
      <alignment horizontal="right"/>
    </xf>
    <xf numFmtId="0" fontId="21" fillId="0" borderId="6" xfId="0" applyFont="1" applyBorder="1" applyAlignment="1">
      <alignment horizontal="center"/>
    </xf>
    <xf numFmtId="0" fontId="21" fillId="0" borderId="6" xfId="0" applyFont="1" applyBorder="1"/>
    <xf numFmtId="0" fontId="21" fillId="0" borderId="2" xfId="0" applyFont="1" applyBorder="1" applyAlignment="1">
      <alignment horizontal="center"/>
    </xf>
    <xf numFmtId="44" fontId="21" fillId="0" borderId="2" xfId="1" applyFont="1" applyBorder="1" applyAlignment="1">
      <alignment horizontal="center"/>
    </xf>
    <xf numFmtId="0" fontId="21" fillId="0" borderId="2" xfId="0" applyFont="1" applyBorder="1"/>
    <xf numFmtId="0" fontId="22" fillId="0" borderId="0" xfId="0" applyFont="1" applyFill="1" applyBorder="1" applyAlignment="1"/>
    <xf numFmtId="0" fontId="21" fillId="0" borderId="12" xfId="0" applyFont="1" applyFill="1" applyBorder="1" applyAlignment="1">
      <alignment horizontal="left"/>
    </xf>
    <xf numFmtId="0" fontId="21" fillId="0" borderId="3" xfId="0" applyFont="1" applyBorder="1" applyAlignment="1"/>
    <xf numFmtId="0" fontId="21" fillId="0" borderId="2" xfId="0" applyFont="1" applyBorder="1" applyAlignment="1"/>
    <xf numFmtId="0" fontId="21" fillId="0" borderId="0" xfId="0" applyFont="1" applyBorder="1" applyAlignment="1"/>
    <xf numFmtId="0" fontId="39" fillId="3" borderId="7" xfId="0" applyFont="1" applyFill="1" applyBorder="1" applyAlignment="1">
      <alignment horizontal="center"/>
    </xf>
    <xf numFmtId="0" fontId="27" fillId="3" borderId="7" xfId="0" applyFont="1" applyFill="1" applyBorder="1" applyAlignment="1"/>
    <xf numFmtId="0" fontId="21" fillId="0" borderId="15" xfId="0" applyFont="1" applyFill="1" applyBorder="1" applyAlignment="1" applyProtection="1">
      <alignment horizontal="center"/>
      <protection locked="0"/>
    </xf>
    <xf numFmtId="0" fontId="39" fillId="3" borderId="7" xfId="0" applyFont="1" applyFill="1" applyBorder="1"/>
    <xf numFmtId="0" fontId="21" fillId="0" borderId="1" xfId="0" applyFont="1" applyBorder="1"/>
    <xf numFmtId="0" fontId="21" fillId="0" borderId="0" xfId="0" applyFont="1" applyFill="1" applyBorder="1" applyAlignment="1" applyProtection="1">
      <alignment horizontal="center"/>
      <protection locked="0"/>
    </xf>
    <xf numFmtId="164" fontId="21" fillId="0" borderId="0" xfId="0" applyNumberFormat="1" applyFont="1" applyBorder="1" applyAlignment="1">
      <alignment horizontal="right"/>
    </xf>
    <xf numFmtId="44" fontId="21" fillId="0" borderId="0" xfId="1" applyFont="1" applyBorder="1" applyAlignment="1">
      <alignment horizontal="right"/>
    </xf>
    <xf numFmtId="0" fontId="22" fillId="0" borderId="0" xfId="0" applyFont="1" applyAlignment="1">
      <alignment horizontal="left"/>
    </xf>
    <xf numFmtId="44" fontId="21" fillId="0" borderId="0" xfId="1" applyFont="1" applyFill="1" applyBorder="1" applyAlignment="1">
      <alignment horizontal="left"/>
    </xf>
    <xf numFmtId="164" fontId="28" fillId="0" borderId="0" xfId="0" applyNumberFormat="1" applyFont="1" applyBorder="1" applyAlignment="1">
      <alignment horizontal="right"/>
    </xf>
    <xf numFmtId="0" fontId="29" fillId="0" borderId="0" xfId="0" applyFont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39" fillId="5" borderId="0" xfId="0" applyFont="1" applyFill="1" applyAlignment="1">
      <alignment horizontal="center"/>
    </xf>
    <xf numFmtId="0" fontId="39" fillId="4" borderId="0" xfId="0" applyFont="1" applyFill="1" applyAlignment="1">
      <alignment horizontal="center"/>
    </xf>
    <xf numFmtId="0" fontId="21" fillId="0" borderId="6" xfId="0" applyFont="1" applyFill="1" applyBorder="1" applyAlignment="1">
      <alignment horizontal="center"/>
    </xf>
    <xf numFmtId="0" fontId="22" fillId="0" borderId="6" xfId="0" applyFont="1" applyFill="1" applyBorder="1" applyAlignment="1">
      <alignment horizontal="center"/>
    </xf>
    <xf numFmtId="44" fontId="29" fillId="0" borderId="0" xfId="1" applyFont="1" applyAlignment="1">
      <alignment horizontal="left"/>
    </xf>
    <xf numFmtId="0" fontId="29" fillId="0" borderId="12" xfId="0" applyFont="1" applyBorder="1" applyAlignment="1">
      <alignment horizontal="left"/>
    </xf>
    <xf numFmtId="0" fontId="21" fillId="0" borderId="7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0" fillId="0" borderId="0" xfId="0" applyFont="1" applyAlignment="1"/>
    <xf numFmtId="0" fontId="7" fillId="0" borderId="0" xfId="0" applyFont="1" applyFill="1" applyBorder="1" applyAlignment="1">
      <alignment horizontal="left"/>
    </xf>
    <xf numFmtId="0" fontId="21" fillId="0" borderId="7" xfId="0" applyFont="1" applyFill="1" applyBorder="1" applyAlignment="1">
      <alignment horizontal="left"/>
    </xf>
    <xf numFmtId="44" fontId="21" fillId="0" borderId="0" xfId="1" applyFont="1" applyAlignment="1">
      <alignment horizontal="right"/>
    </xf>
    <xf numFmtId="44" fontId="27" fillId="2" borderId="7" xfId="1" applyFont="1" applyFill="1" applyBorder="1" applyAlignment="1">
      <alignment horizontal="right"/>
    </xf>
    <xf numFmtId="44" fontId="21" fillId="0" borderId="7" xfId="1" applyFont="1" applyFill="1" applyBorder="1" applyAlignment="1">
      <alignment horizontal="right"/>
    </xf>
    <xf numFmtId="44" fontId="21" fillId="0" borderId="7" xfId="1" applyFont="1" applyBorder="1" applyAlignment="1">
      <alignment horizontal="right"/>
    </xf>
    <xf numFmtId="44" fontId="21" fillId="0" borderId="0" xfId="1" applyFont="1" applyFill="1" applyBorder="1" applyAlignment="1">
      <alignment horizontal="right"/>
    </xf>
    <xf numFmtId="44" fontId="22" fillId="0" borderId="0" xfId="1" applyFont="1" applyAlignment="1">
      <alignment horizontal="right"/>
    </xf>
    <xf numFmtId="44" fontId="21" fillId="0" borderId="6" xfId="1" applyFont="1" applyFill="1" applyBorder="1" applyAlignment="1">
      <alignment horizontal="right"/>
    </xf>
    <xf numFmtId="44" fontId="27" fillId="2" borderId="13" xfId="1" applyFont="1" applyFill="1" applyBorder="1" applyAlignment="1">
      <alignment horizontal="right"/>
    </xf>
    <xf numFmtId="44" fontId="27" fillId="2" borderId="2" xfId="1" applyFont="1" applyFill="1" applyBorder="1" applyAlignment="1">
      <alignment horizontal="right"/>
    </xf>
    <xf numFmtId="44" fontId="21" fillId="0" borderId="7" xfId="1" applyFont="1" applyFill="1" applyBorder="1" applyAlignment="1" applyProtection="1">
      <alignment horizontal="right"/>
      <protection locked="0"/>
    </xf>
    <xf numFmtId="44" fontId="21" fillId="0" borderId="6" xfId="1" applyFont="1" applyBorder="1" applyAlignment="1">
      <alignment horizontal="right"/>
    </xf>
    <xf numFmtId="44" fontId="21" fillId="0" borderId="2" xfId="1" applyFont="1" applyBorder="1" applyAlignment="1">
      <alignment horizontal="right"/>
    </xf>
    <xf numFmtId="0" fontId="7" fillId="0" borderId="0" xfId="0" applyFont="1" applyAlignment="1"/>
    <xf numFmtId="0" fontId="22" fillId="0" borderId="0" xfId="0" applyFont="1" applyFill="1" applyAlignment="1">
      <alignment horizontal="center"/>
    </xf>
    <xf numFmtId="44" fontId="22" fillId="0" borderId="0" xfId="1" applyFont="1" applyFill="1" applyAlignment="1">
      <alignment horizontal="right"/>
    </xf>
    <xf numFmtId="0" fontId="18" fillId="0" borderId="7" xfId="0" applyFont="1" applyBorder="1"/>
    <xf numFmtId="1" fontId="21" fillId="0" borderId="7" xfId="0" applyNumberFormat="1" applyFont="1" applyFill="1" applyBorder="1" applyAlignment="1" applyProtection="1">
      <alignment horizontal="center"/>
      <protection locked="0"/>
    </xf>
    <xf numFmtId="0" fontId="18" fillId="0" borderId="7" xfId="0" applyFont="1" applyBorder="1" applyAlignment="1">
      <alignment horizontal="center"/>
    </xf>
    <xf numFmtId="44" fontId="21" fillId="0" borderId="7" xfId="1" applyFont="1" applyBorder="1" applyAlignment="1">
      <alignment horizontal="center"/>
    </xf>
    <xf numFmtId="0" fontId="0" fillId="0" borderId="7" xfId="0" applyBorder="1"/>
    <xf numFmtId="44" fontId="22" fillId="0" borderId="0" xfId="1" applyFont="1" applyAlignment="1"/>
    <xf numFmtId="0" fontId="37" fillId="4" borderId="0" xfId="0" applyFont="1" applyFill="1" applyAlignment="1"/>
    <xf numFmtId="44" fontId="13" fillId="0" borderId="0" xfId="1" applyFont="1" applyAlignment="1"/>
    <xf numFmtId="0" fontId="27" fillId="4" borderId="7" xfId="0" applyFont="1" applyFill="1" applyBorder="1" applyAlignment="1">
      <alignment horizontal="center"/>
    </xf>
    <xf numFmtId="0" fontId="33" fillId="0" borderId="7" xfId="0" applyFont="1" applyBorder="1" applyAlignment="1"/>
    <xf numFmtId="0" fontId="13" fillId="0" borderId="9" xfId="0" applyFont="1" applyFill="1" applyBorder="1" applyAlignment="1">
      <alignment horizontal="center"/>
    </xf>
    <xf numFmtId="0" fontId="33" fillId="0" borderId="7" xfId="0" applyFont="1" applyBorder="1"/>
    <xf numFmtId="0" fontId="37" fillId="4" borderId="9" xfId="0" applyFont="1" applyFill="1" applyBorder="1" applyAlignment="1">
      <alignment horizontal="center"/>
    </xf>
    <xf numFmtId="44" fontId="37" fillId="4" borderId="9" xfId="1" applyFont="1" applyFill="1" applyBorder="1" applyAlignment="1">
      <alignment horizontal="center"/>
    </xf>
    <xf numFmtId="0" fontId="37" fillId="4" borderId="11" xfId="0" applyFont="1" applyFill="1" applyBorder="1" applyAlignment="1">
      <alignment horizontal="center"/>
    </xf>
    <xf numFmtId="0" fontId="33" fillId="4" borderId="0" xfId="0" applyFont="1" applyFill="1"/>
    <xf numFmtId="0" fontId="33" fillId="0" borderId="0" xfId="0" applyFont="1"/>
    <xf numFmtId="44" fontId="38" fillId="3" borderId="16" xfId="1" applyFont="1" applyFill="1" applyBorder="1" applyAlignment="1"/>
    <xf numFmtId="0" fontId="23" fillId="0" borderId="0" xfId="0" applyFont="1" applyFill="1" applyBorder="1" applyAlignment="1">
      <alignment horizontal="center"/>
    </xf>
    <xf numFmtId="44" fontId="18" fillId="0" borderId="0" xfId="1" applyFont="1" applyFill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164" fontId="20" fillId="0" borderId="0" xfId="0" applyNumberFormat="1" applyFont="1" applyBorder="1" applyAlignment="1">
      <alignment horizontal="right"/>
    </xf>
    <xf numFmtId="0" fontId="21" fillId="0" borderId="3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left"/>
    </xf>
    <xf numFmtId="0" fontId="1" fillId="0" borderId="7" xfId="0" applyFont="1" applyBorder="1"/>
    <xf numFmtId="0" fontId="21" fillId="0" borderId="3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21" fillId="0" borderId="7" xfId="0" applyFont="1" applyBorder="1"/>
    <xf numFmtId="0" fontId="21" fillId="0" borderId="7" xfId="0" applyFont="1" applyFill="1" applyBorder="1" applyAlignment="1">
      <alignment horizontal="left"/>
    </xf>
    <xf numFmtId="0" fontId="18" fillId="0" borderId="7" xfId="0" applyFont="1" applyBorder="1"/>
    <xf numFmtId="0" fontId="39" fillId="2" borderId="3" xfId="0" applyFont="1" applyFill="1" applyBorder="1" applyAlignment="1"/>
    <xf numFmtId="0" fontId="39" fillId="2" borderId="1" xfId="0" applyFont="1" applyFill="1" applyBorder="1" applyAlignment="1"/>
    <xf numFmtId="0" fontId="21" fillId="0" borderId="2" xfId="0" applyFont="1" applyBorder="1" applyAlignment="1">
      <alignment horizontal="left"/>
    </xf>
    <xf numFmtId="0" fontId="21" fillId="0" borderId="2" xfId="0" applyFont="1" applyFill="1" applyBorder="1" applyAlignment="1">
      <alignment horizontal="left"/>
    </xf>
    <xf numFmtId="44" fontId="38" fillId="3" borderId="17" xfId="1" applyFont="1" applyFill="1" applyBorder="1" applyAlignment="1">
      <alignment horizontal="left"/>
    </xf>
    <xf numFmtId="44" fontId="38" fillId="3" borderId="7" xfId="1" applyFont="1" applyFill="1" applyBorder="1" applyAlignment="1">
      <alignment horizontal="left"/>
    </xf>
    <xf numFmtId="44" fontId="38" fillId="3" borderId="13" xfId="1" applyFont="1" applyFill="1" applyBorder="1" applyAlignment="1">
      <alignment horizontal="left"/>
    </xf>
    <xf numFmtId="0" fontId="21" fillId="0" borderId="0" xfId="0" applyFont="1" applyFill="1" applyBorder="1" applyAlignment="1">
      <alignment horizontal="left"/>
    </xf>
    <xf numFmtId="0" fontId="27" fillId="2" borderId="3" xfId="0" applyFont="1" applyFill="1" applyBorder="1" applyAlignment="1">
      <alignment horizontal="left"/>
    </xf>
    <xf numFmtId="0" fontId="27" fillId="2" borderId="2" xfId="0" applyFont="1" applyFill="1" applyBorder="1" applyAlignment="1">
      <alignment horizontal="left"/>
    </xf>
    <xf numFmtId="0" fontId="21" fillId="0" borderId="2" xfId="0" applyFont="1" applyBorder="1" applyAlignment="1">
      <alignment horizontal="center"/>
    </xf>
    <xf numFmtId="9" fontId="12" fillId="0" borderId="2" xfId="1" applyNumberFormat="1" applyFont="1" applyFill="1" applyBorder="1" applyAlignment="1">
      <alignment horizontal="center"/>
    </xf>
    <xf numFmtId="9" fontId="12" fillId="0" borderId="1" xfId="1" applyNumberFormat="1" applyFont="1" applyFill="1" applyBorder="1" applyAlignment="1">
      <alignment horizontal="center"/>
    </xf>
    <xf numFmtId="0" fontId="27" fillId="2" borderId="5" xfId="0" applyFont="1" applyFill="1" applyBorder="1" applyAlignment="1">
      <alignment horizontal="left"/>
    </xf>
    <xf numFmtId="0" fontId="27" fillId="2" borderId="6" xfId="0" applyFont="1" applyFill="1" applyBorder="1" applyAlignment="1">
      <alignment horizontal="left"/>
    </xf>
    <xf numFmtId="0" fontId="38" fillId="3" borderId="18" xfId="0" applyFont="1" applyFill="1" applyBorder="1" applyAlignment="1">
      <alignment horizontal="left"/>
    </xf>
    <xf numFmtId="0" fontId="38" fillId="3" borderId="19" xfId="0" applyFont="1" applyFill="1" applyBorder="1" applyAlignment="1">
      <alignment horizontal="left"/>
    </xf>
    <xf numFmtId="0" fontId="38" fillId="3" borderId="20" xfId="0" applyFont="1" applyFill="1" applyBorder="1" applyAlignment="1">
      <alignment horizontal="left"/>
    </xf>
    <xf numFmtId="0" fontId="31" fillId="5" borderId="0" xfId="0" applyFont="1" applyFill="1" applyAlignment="1">
      <alignment horizontal="center" vertical="center"/>
    </xf>
    <xf numFmtId="0" fontId="40" fillId="5" borderId="0" xfId="0" applyFont="1" applyFill="1" applyAlignment="1">
      <alignment horizontal="center" vertical="center"/>
    </xf>
    <xf numFmtId="0" fontId="41" fillId="0" borderId="3" xfId="2" applyFont="1" applyBorder="1" applyAlignment="1" applyProtection="1">
      <alignment horizontal="center"/>
    </xf>
    <xf numFmtId="0" fontId="41" fillId="0" borderId="2" xfId="2" applyFont="1" applyBorder="1" applyAlignment="1" applyProtection="1">
      <alignment horizontal="center"/>
    </xf>
    <xf numFmtId="0" fontId="41" fillId="0" borderId="1" xfId="2" applyFont="1" applyBorder="1" applyAlignment="1" applyProtection="1">
      <alignment horizontal="center"/>
    </xf>
    <xf numFmtId="0" fontId="27" fillId="2" borderId="8" xfId="0" applyFont="1" applyFill="1" applyBorder="1" applyAlignment="1">
      <alignment horizontal="left"/>
    </xf>
    <xf numFmtId="0" fontId="21" fillId="0" borderId="3" xfId="0" applyFont="1" applyBorder="1" applyAlignment="1"/>
    <xf numFmtId="0" fontId="21" fillId="0" borderId="2" xfId="0" applyFont="1" applyBorder="1" applyAlignment="1"/>
    <xf numFmtId="0" fontId="21" fillId="0" borderId="1" xfId="0" applyFont="1" applyBorder="1" applyAlignment="1"/>
    <xf numFmtId="0" fontId="21" fillId="0" borderId="3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33" fillId="0" borderId="9" xfId="0" applyFont="1" applyFill="1" applyBorder="1" applyAlignment="1">
      <alignment horizontal="center"/>
    </xf>
    <xf numFmtId="0" fontId="33" fillId="0" borderId="10" xfId="0" applyFont="1" applyFill="1" applyBorder="1" applyAlignment="1">
      <alignment horizontal="left"/>
    </xf>
    <xf numFmtId="0" fontId="33" fillId="0" borderId="9" xfId="0" applyFont="1" applyFill="1" applyBorder="1" applyAlignment="1">
      <alignment horizontal="left"/>
    </xf>
    <xf numFmtId="0" fontId="21" fillId="0" borderId="3" xfId="0" applyFont="1" applyBorder="1"/>
    <xf numFmtId="0" fontId="21" fillId="0" borderId="1" xfId="0" applyFont="1" applyBorder="1"/>
    <xf numFmtId="0" fontId="0" fillId="4" borderId="0" xfId="0" applyFill="1"/>
    <xf numFmtId="0" fontId="1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31" fillId="5" borderId="6" xfId="0" applyFont="1" applyFill="1" applyBorder="1" applyAlignment="1"/>
    <xf numFmtId="0" fontId="40" fillId="5" borderId="6" xfId="0" applyFont="1" applyFill="1" applyBorder="1" applyAlignment="1"/>
    <xf numFmtId="44" fontId="22" fillId="0" borderId="3" xfId="0" applyNumberFormat="1" applyFont="1" applyBorder="1" applyAlignment="1">
      <alignment horizontal="center"/>
    </xf>
    <xf numFmtId="44" fontId="22" fillId="0" borderId="1" xfId="0" applyNumberFormat="1" applyFont="1" applyBorder="1" applyAlignment="1">
      <alignment horizontal="center"/>
    </xf>
    <xf numFmtId="0" fontId="23" fillId="0" borderId="9" xfId="0" applyFont="1" applyFill="1" applyBorder="1" applyAlignment="1">
      <alignment horizontal="center"/>
    </xf>
    <xf numFmtId="0" fontId="38" fillId="3" borderId="21" xfId="0" applyFont="1" applyFill="1" applyBorder="1" applyAlignment="1">
      <alignment horizontal="left"/>
    </xf>
    <xf numFmtId="0" fontId="38" fillId="3" borderId="22" xfId="0" applyFont="1" applyFill="1" applyBorder="1" applyAlignment="1">
      <alignment horizontal="left"/>
    </xf>
    <xf numFmtId="44" fontId="21" fillId="0" borderId="3" xfId="0" applyNumberFormat="1" applyFont="1" applyBorder="1" applyAlignment="1">
      <alignment horizontal="center"/>
    </xf>
    <xf numFmtId="44" fontId="21" fillId="0" borderId="1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1" xfId="0" applyFont="1" applyBorder="1"/>
    <xf numFmtId="0" fontId="1" fillId="0" borderId="3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0" xfId="0" applyFont="1" applyFill="1" applyBorder="1" applyAlignment="1"/>
    <xf numFmtId="0" fontId="1" fillId="0" borderId="11" xfId="0" applyFont="1" applyFill="1" applyBorder="1" applyAlignment="1"/>
    <xf numFmtId="0" fontId="1" fillId="0" borderId="5" xfId="0" applyFont="1" applyBorder="1"/>
    <xf numFmtId="0" fontId="1" fillId="0" borderId="8" xfId="0" applyFont="1" applyBorder="1"/>
    <xf numFmtId="0" fontId="1" fillId="0" borderId="3" xfId="0" applyFont="1" applyFill="1" applyBorder="1" applyAlignment="1"/>
    <xf numFmtId="0" fontId="1" fillId="0" borderId="1" xfId="0" applyFont="1" applyFill="1" applyBorder="1" applyAlignment="1"/>
    <xf numFmtId="0" fontId="1" fillId="0" borderId="10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12" xfId="0" applyFont="1" applyBorder="1"/>
    <xf numFmtId="0" fontId="1" fillId="0" borderId="3" xfId="0" applyFont="1" applyBorder="1" applyAlignment="1"/>
    <xf numFmtId="0" fontId="1" fillId="0" borderId="1" xfId="0" applyFont="1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1" fillId="0" borderId="2" xfId="0" applyFont="1" applyFill="1" applyBorder="1" applyAlignment="1"/>
    <xf numFmtId="0" fontId="42" fillId="3" borderId="3" xfId="0" applyFont="1" applyFill="1" applyBorder="1" applyAlignment="1">
      <alignment horizontal="left"/>
    </xf>
    <xf numFmtId="0" fontId="42" fillId="3" borderId="2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12" xfId="0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5" fillId="0" borderId="0" xfId="0" applyFont="1" applyFill="1" applyAlignment="1">
      <alignment horizontal="center"/>
    </xf>
    <xf numFmtId="0" fontId="1" fillId="0" borderId="9" xfId="0" applyFont="1" applyFill="1" applyBorder="1" applyAlignment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0" xfId="0" applyFont="1" applyFill="1" applyBorder="1" applyAlignment="1">
      <alignment horizontal="left"/>
    </xf>
    <xf numFmtId="0" fontId="1" fillId="0" borderId="11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9" xfId="0" applyFont="1" applyBorder="1"/>
    <xf numFmtId="0" fontId="15" fillId="0" borderId="5" xfId="0" applyFont="1" applyBorder="1"/>
    <xf numFmtId="0" fontId="15" fillId="0" borderId="6" xfId="0" applyFont="1" applyBorder="1"/>
    <xf numFmtId="0" fontId="1" fillId="0" borderId="4" xfId="0" applyFont="1" applyFill="1" applyBorder="1" applyAlignment="1"/>
    <xf numFmtId="0" fontId="1" fillId="0" borderId="12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26" fillId="0" borderId="23" xfId="0" applyFont="1" applyBorder="1" applyAlignment="1">
      <alignment horizontal="center" vertical="top"/>
    </xf>
    <xf numFmtId="0" fontId="26" fillId="0" borderId="24" xfId="0" applyFont="1" applyBorder="1" applyAlignment="1">
      <alignment horizontal="center" vertical="top"/>
    </xf>
    <xf numFmtId="0" fontId="26" fillId="0" borderId="25" xfId="0" applyFont="1" applyBorder="1" applyAlignment="1">
      <alignment horizontal="center" vertical="top"/>
    </xf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left"/>
    </xf>
    <xf numFmtId="0" fontId="1" fillId="0" borderId="5" xfId="0" applyFont="1" applyFill="1" applyBorder="1" applyAlignment="1"/>
    <xf numFmtId="0" fontId="1" fillId="0" borderId="8" xfId="0" applyFont="1" applyFill="1" applyBorder="1" applyAlignme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30480</xdr:rowOff>
    </xdr:from>
    <xdr:to>
      <xdr:col>8</xdr:col>
      <xdr:colOff>0</xdr:colOff>
      <xdr:row>1</xdr:row>
      <xdr:rowOff>60960</xdr:rowOff>
    </xdr:to>
    <xdr:pic>
      <xdr:nvPicPr>
        <xdr:cNvPr id="4341" name="Picture 6" descr="LOGO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02580" y="53340"/>
          <a:ext cx="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335280</xdr:colOff>
      <xdr:row>0</xdr:row>
      <xdr:rowOff>76200</xdr:rowOff>
    </xdr:from>
    <xdr:to>
      <xdr:col>7</xdr:col>
      <xdr:colOff>175260</xdr:colOff>
      <xdr:row>6</xdr:row>
      <xdr:rowOff>15240</xdr:rowOff>
    </xdr:to>
    <xdr:grpSp>
      <xdr:nvGrpSpPr>
        <xdr:cNvPr id="4342" name="Group 372"/>
        <xdr:cNvGrpSpPr>
          <a:grpSpLocks/>
        </xdr:cNvGrpSpPr>
      </xdr:nvGrpSpPr>
      <xdr:grpSpPr bwMode="auto">
        <a:xfrm>
          <a:off x="516255" y="22860"/>
          <a:ext cx="4259580" cy="1306830"/>
          <a:chOff x="107290778" y="108198232"/>
          <a:chExt cx="1593882" cy="506208"/>
        </a:xfrm>
      </xdr:grpSpPr>
      <xdr:pic>
        <xdr:nvPicPr>
          <xdr:cNvPr id="4347" name="Picture 373" descr="Smart distributing logo 4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7290778" y="108198232"/>
            <a:ext cx="1031575" cy="453795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sp macro="" textlink="">
        <xdr:nvSpPr>
          <xdr:cNvPr id="1398" name="Text Box 374"/>
          <xdr:cNvSpPr txBox="1">
            <a:spLocks noChangeArrowheads="1"/>
          </xdr:cNvSpPr>
        </xdr:nvSpPr>
        <xdr:spPr bwMode="auto">
          <a:xfrm>
            <a:off x="107547396" y="108401304"/>
            <a:ext cx="1337264" cy="303136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  <a:effectLst/>
        </xdr:spPr>
        <xdr:txBody>
          <a:bodyPr vertOverflow="clip" wrap="square" lIns="36576" tIns="36576" rIns="36576" bIns="36576" anchor="t" upright="1"/>
          <a:lstStyle/>
          <a:p>
            <a:pPr algn="l" rtl="0">
              <a:defRPr sz="1000"/>
            </a:pPr>
            <a:r>
              <a:rPr lang="en-CA" sz="1700" b="1" i="0" u="none" strike="noStrike" baseline="0">
                <a:solidFill>
                  <a:srgbClr val="000000"/>
                </a:solidFill>
                <a:latin typeface="Bauhaus Md BT"/>
              </a:rPr>
              <a:t>Smart Distributing</a:t>
            </a:r>
          </a:p>
          <a:p>
            <a:pPr algn="l" rtl="0">
              <a:defRPr sz="1000"/>
            </a:pPr>
            <a:endParaRPr lang="en-CA" sz="1100" b="1" i="0" u="none" strike="noStrike" baseline="0">
              <a:solidFill>
                <a:srgbClr val="000000"/>
              </a:solidFill>
              <a:latin typeface="Bauhaus Md BT"/>
            </a:endParaRPr>
          </a:p>
        </xdr:txBody>
      </xdr:sp>
    </xdr:grpSp>
    <xdr:clientData/>
  </xdr:twoCellAnchor>
  <xdr:twoCellAnchor>
    <xdr:from>
      <xdr:col>1</xdr:col>
      <xdr:colOff>289560</xdr:colOff>
      <xdr:row>74</xdr:row>
      <xdr:rowOff>152400</xdr:rowOff>
    </xdr:from>
    <xdr:to>
      <xdr:col>7</xdr:col>
      <xdr:colOff>304800</xdr:colOff>
      <xdr:row>80</xdr:row>
      <xdr:rowOff>0</xdr:rowOff>
    </xdr:to>
    <xdr:grpSp>
      <xdr:nvGrpSpPr>
        <xdr:cNvPr id="4343" name="Group 372"/>
        <xdr:cNvGrpSpPr>
          <a:grpSpLocks/>
        </xdr:cNvGrpSpPr>
      </xdr:nvGrpSpPr>
      <xdr:grpSpPr bwMode="auto">
        <a:xfrm>
          <a:off x="470535" y="15497175"/>
          <a:ext cx="4434840" cy="1485900"/>
          <a:chOff x="107290774" y="108270194"/>
          <a:chExt cx="1451630" cy="404172"/>
        </a:xfrm>
      </xdr:grpSpPr>
      <xdr:pic>
        <xdr:nvPicPr>
          <xdr:cNvPr id="4345" name="Picture 373" descr="Smart distributing logo 4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7290774" y="108270194"/>
            <a:ext cx="906019" cy="353297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sp macro="" textlink="">
        <xdr:nvSpPr>
          <xdr:cNvPr id="13" name="Text Box 374"/>
          <xdr:cNvSpPr txBox="1">
            <a:spLocks noChangeArrowheads="1"/>
          </xdr:cNvSpPr>
        </xdr:nvSpPr>
        <xdr:spPr bwMode="auto">
          <a:xfrm>
            <a:off x="107495299" y="108437224"/>
            <a:ext cx="1247105" cy="237142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  <a:effectLst/>
        </xdr:spPr>
        <xdr:txBody>
          <a:bodyPr vertOverflow="clip" wrap="square" lIns="36576" tIns="36576" rIns="36576" bIns="36576" anchor="t" upright="1"/>
          <a:lstStyle/>
          <a:p>
            <a:pPr algn="l" rtl="0">
              <a:defRPr sz="1000"/>
            </a:pPr>
            <a:r>
              <a:rPr lang="en-CA" sz="1700" b="1" i="0" u="none" strike="noStrike" baseline="0">
                <a:solidFill>
                  <a:srgbClr val="000000"/>
                </a:solidFill>
                <a:latin typeface="Bauhaus Md BT"/>
              </a:rPr>
              <a:t>Smart Distributing</a:t>
            </a:r>
          </a:p>
          <a:p>
            <a:pPr algn="l" rtl="0">
              <a:defRPr sz="1000"/>
            </a:pPr>
            <a:endParaRPr lang="en-CA" sz="1100" b="1" i="0" u="none" strike="noStrike" baseline="0">
              <a:solidFill>
                <a:srgbClr val="000000"/>
              </a:solidFill>
              <a:latin typeface="Bauhaus Md BT"/>
            </a:endParaRPr>
          </a:p>
        </xdr:txBody>
      </xdr:sp>
    </xdr:grpSp>
    <xdr:clientData/>
  </xdr:twoCellAnchor>
  <xdr:twoCellAnchor editAs="oneCell">
    <xdr:from>
      <xdr:col>8</xdr:col>
      <xdr:colOff>0</xdr:colOff>
      <xdr:row>1</xdr:row>
      <xdr:rowOff>30480</xdr:rowOff>
    </xdr:from>
    <xdr:to>
      <xdr:col>8</xdr:col>
      <xdr:colOff>0</xdr:colOff>
      <xdr:row>1</xdr:row>
      <xdr:rowOff>60960</xdr:rowOff>
    </xdr:to>
    <xdr:pic>
      <xdr:nvPicPr>
        <xdr:cNvPr id="4344" name="Picture 6" descr="LOGO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02580" y="53340"/>
          <a:ext cx="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4</xdr:row>
      <xdr:rowOff>0</xdr:rowOff>
    </xdr:to>
    <xdr:grpSp>
      <xdr:nvGrpSpPr>
        <xdr:cNvPr id="2679" name="Group 372"/>
        <xdr:cNvGrpSpPr>
          <a:grpSpLocks/>
        </xdr:cNvGrpSpPr>
      </xdr:nvGrpSpPr>
      <xdr:grpSpPr bwMode="auto">
        <a:xfrm>
          <a:off x="0" y="0"/>
          <a:ext cx="4183380" cy="952500"/>
          <a:chOff x="107290778" y="108270194"/>
          <a:chExt cx="1216877" cy="404172"/>
        </a:xfrm>
      </xdr:grpSpPr>
      <xdr:pic>
        <xdr:nvPicPr>
          <xdr:cNvPr id="2680" name="Picture 373" descr="Smart distributing logo 4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7290778" y="108270194"/>
            <a:ext cx="709136" cy="353297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sp macro="" textlink="">
        <xdr:nvSpPr>
          <xdr:cNvPr id="8" name="Text Box 374"/>
          <xdr:cNvSpPr txBox="1">
            <a:spLocks noChangeArrowheads="1"/>
          </xdr:cNvSpPr>
        </xdr:nvSpPr>
        <xdr:spPr bwMode="auto">
          <a:xfrm>
            <a:off x="107494699" y="108438330"/>
            <a:ext cx="1012956" cy="236036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  <a:effectLst/>
        </xdr:spPr>
        <xdr:txBody>
          <a:bodyPr vertOverflow="clip" wrap="square" lIns="36576" tIns="36576" rIns="36576" bIns="36576" anchor="t" upright="1"/>
          <a:lstStyle/>
          <a:p>
            <a:pPr algn="l" rtl="0">
              <a:defRPr sz="1000"/>
            </a:pPr>
            <a:r>
              <a:rPr lang="en-CA" sz="1400" b="1" i="0" u="none" strike="noStrike" baseline="0">
                <a:solidFill>
                  <a:srgbClr val="000000"/>
                </a:solidFill>
                <a:latin typeface="Bauhaus Md BT"/>
              </a:rPr>
              <a:t>Smart Distributing</a:t>
            </a:r>
          </a:p>
          <a:p>
            <a:pPr algn="l" rtl="0">
              <a:defRPr sz="1000"/>
            </a:pPr>
            <a:endParaRPr lang="en-CA" sz="1100" b="1" i="0" u="none" strike="noStrike" baseline="0">
              <a:solidFill>
                <a:srgbClr val="000000"/>
              </a:solidFill>
              <a:latin typeface="Bauhaus Md BT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14" sqref="J14"/>
    </sheetView>
  </sheetViews>
  <sheetFormatPr defaultRowHeight="13.2"/>
  <cols>
    <col min="9" max="9" width="1.33203125" customWidth="1"/>
  </cols>
  <sheetData/>
  <pageMargins left="0.7" right="0.7" top="0.75" bottom="0.75" header="0.3" footer="0.3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35"/>
  <sheetViews>
    <sheetView tabSelected="1" view="pageBreakPreview" topLeftCell="A63" zoomScale="80" zoomScaleNormal="80" zoomScaleSheetLayoutView="80" workbookViewId="0">
      <selection activeCell="Q121" sqref="Q121"/>
    </sheetView>
  </sheetViews>
  <sheetFormatPr defaultRowHeight="13.8"/>
  <cols>
    <col min="1" max="1" width="2.6640625" style="46" customWidth="1"/>
    <col min="2" max="2" width="6.109375" style="178" customWidth="1"/>
    <col min="3" max="3" width="22" style="178" customWidth="1"/>
    <col min="4" max="4" width="12.44140625" style="221" customWidth="1"/>
    <col min="5" max="5" width="10.5546875" style="226" customWidth="1"/>
    <col min="6" max="6" width="7.44140625" style="221" customWidth="1"/>
    <col min="7" max="7" width="5.88671875" customWidth="1"/>
    <col min="8" max="8" width="11.6640625" customWidth="1"/>
    <col min="9" max="9" width="1.6640625" customWidth="1"/>
    <col min="10" max="10" width="1" hidden="1" customWidth="1"/>
    <col min="11" max="11" width="6.109375" customWidth="1"/>
    <col min="12" max="12" width="21.88671875" customWidth="1"/>
    <col min="13" max="13" width="12.5546875" customWidth="1"/>
    <col min="14" max="14" width="12.88671875" style="76" customWidth="1"/>
    <col min="15" max="15" width="7.33203125" customWidth="1"/>
    <col min="16" max="16" width="5.88671875" customWidth="1"/>
    <col min="17" max="17" width="11.6640625" customWidth="1"/>
    <col min="18" max="18" width="6.5546875" style="55" hidden="1" customWidth="1"/>
    <col min="19" max="19" width="12.6640625" customWidth="1"/>
  </cols>
  <sheetData>
    <row r="1" spans="1:18" ht="1.95" customHeight="1"/>
    <row r="2" spans="1:18" ht="23.4" customHeight="1">
      <c r="E2" s="187"/>
      <c r="F2" s="187"/>
      <c r="G2" s="53" t="s">
        <v>361</v>
      </c>
      <c r="H2" s="53"/>
      <c r="I2" s="27"/>
      <c r="J2" s="27"/>
      <c r="K2" s="27"/>
      <c r="L2" s="27"/>
      <c r="M2" s="53"/>
      <c r="N2" s="80"/>
      <c r="O2" s="47"/>
      <c r="P2" s="48"/>
      <c r="Q2" s="49"/>
    </row>
    <row r="3" spans="1:18" ht="21" customHeight="1">
      <c r="E3" s="187"/>
      <c r="F3" s="187"/>
      <c r="G3" s="53" t="s">
        <v>362</v>
      </c>
      <c r="H3" s="53"/>
      <c r="I3" s="53"/>
      <c r="J3" s="53"/>
      <c r="K3" s="53"/>
      <c r="L3" s="53"/>
      <c r="M3" s="53"/>
      <c r="N3" s="80"/>
      <c r="O3" s="52"/>
      <c r="P3" s="49"/>
      <c r="Q3" s="49"/>
    </row>
    <row r="4" spans="1:18" s="8" customFormat="1" ht="21" customHeight="1">
      <c r="A4" s="46"/>
      <c r="B4" s="178"/>
      <c r="C4" s="178"/>
      <c r="D4" s="221"/>
      <c r="E4" s="238"/>
      <c r="F4" s="187"/>
      <c r="G4" s="53" t="s">
        <v>364</v>
      </c>
      <c r="H4" s="53"/>
      <c r="I4" s="53"/>
      <c r="J4" s="53"/>
      <c r="K4" s="53"/>
      <c r="L4" s="53"/>
      <c r="M4" s="53"/>
      <c r="N4" s="80"/>
      <c r="O4" s="53"/>
      <c r="P4" s="50"/>
      <c r="Q4" s="50"/>
      <c r="R4" s="56"/>
    </row>
    <row r="5" spans="1:18" ht="21" customHeight="1">
      <c r="F5" s="307" t="s">
        <v>393</v>
      </c>
      <c r="G5" s="307"/>
      <c r="H5" s="307"/>
      <c r="I5" s="307"/>
      <c r="J5" s="307"/>
      <c r="K5" s="307"/>
      <c r="L5" s="307"/>
      <c r="M5" s="307"/>
      <c r="N5" s="307"/>
      <c r="O5" s="307"/>
      <c r="P5" s="48"/>
      <c r="Q5" s="49"/>
    </row>
    <row r="6" spans="1:18" ht="15.6" customHeight="1">
      <c r="A6" s="306"/>
      <c r="B6" s="306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57"/>
    </row>
    <row r="7" spans="1:18" ht="30" customHeight="1">
      <c r="A7" s="60"/>
      <c r="B7" s="290" t="s">
        <v>670</v>
      </c>
      <c r="C7" s="291"/>
      <c r="D7" s="291"/>
      <c r="E7" s="291"/>
      <c r="F7" s="291"/>
      <c r="G7" s="291"/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</row>
    <row r="8" spans="1:18" ht="3" customHeight="1">
      <c r="B8" s="239"/>
      <c r="C8" s="239"/>
      <c r="D8" s="239"/>
      <c r="E8" s="240"/>
      <c r="F8" s="239"/>
      <c r="G8" s="15"/>
      <c r="H8" s="15"/>
      <c r="I8" s="15"/>
      <c r="J8" s="20"/>
      <c r="K8" s="15"/>
      <c r="L8" s="15"/>
      <c r="M8" s="15"/>
      <c r="N8" s="77"/>
      <c r="O8" s="15"/>
      <c r="P8" s="15"/>
      <c r="Q8" s="15"/>
      <c r="R8" s="58"/>
    </row>
    <row r="9" spans="1:18" s="18" customFormat="1" ht="17.25" customHeight="1">
      <c r="A9" s="70"/>
      <c r="B9" s="263" t="s">
        <v>390</v>
      </c>
      <c r="C9" s="275"/>
      <c r="D9" s="275"/>
      <c r="E9" s="275"/>
      <c r="F9" s="275"/>
      <c r="G9" s="275"/>
      <c r="H9" s="264"/>
      <c r="I9" s="194"/>
      <c r="J9" s="195"/>
      <c r="K9" s="263" t="s">
        <v>241</v>
      </c>
      <c r="L9" s="264"/>
      <c r="M9" s="270" t="s">
        <v>242</v>
      </c>
      <c r="N9" s="270"/>
      <c r="O9" s="270" t="s">
        <v>243</v>
      </c>
      <c r="P9" s="270"/>
      <c r="Q9" s="270"/>
      <c r="R9" s="59"/>
    </row>
    <row r="10" spans="1:18" s="18" customFormat="1" ht="16.5" customHeight="1">
      <c r="A10" s="61"/>
      <c r="B10" s="296" t="s">
        <v>391</v>
      </c>
      <c r="C10" s="297"/>
      <c r="D10" s="297"/>
      <c r="E10" s="297"/>
      <c r="F10" s="297"/>
      <c r="G10" s="297"/>
      <c r="H10" s="298"/>
      <c r="I10" s="181"/>
      <c r="J10" s="184"/>
      <c r="K10" s="196" t="s">
        <v>233</v>
      </c>
      <c r="L10" s="197"/>
      <c r="M10" s="191"/>
      <c r="N10" s="192"/>
      <c r="O10" s="191"/>
      <c r="P10" s="191"/>
      <c r="Q10" s="180"/>
      <c r="R10" s="57"/>
    </row>
    <row r="11" spans="1:18" s="18" customFormat="1" ht="17.25" customHeight="1">
      <c r="A11" s="61"/>
      <c r="B11" s="299"/>
      <c r="C11" s="282"/>
      <c r="D11" s="282"/>
      <c r="E11" s="282"/>
      <c r="F11" s="282"/>
      <c r="G11" s="282"/>
      <c r="H11" s="300"/>
      <c r="I11" s="181"/>
      <c r="J11" s="198"/>
      <c r="K11" s="292"/>
      <c r="L11" s="293"/>
      <c r="M11" s="293"/>
      <c r="N11" s="293"/>
      <c r="O11" s="293"/>
      <c r="P11" s="293"/>
      <c r="Q11" s="294"/>
      <c r="R11" s="57"/>
    </row>
    <row r="12" spans="1:18" s="18" customFormat="1" ht="16.05" customHeight="1">
      <c r="A12" s="61"/>
      <c r="B12" s="299"/>
      <c r="C12" s="282"/>
      <c r="D12" s="282"/>
      <c r="E12" s="282"/>
      <c r="F12" s="282"/>
      <c r="G12" s="282"/>
      <c r="H12" s="300"/>
      <c r="I12" s="181"/>
      <c r="J12" s="198"/>
      <c r="K12" s="292"/>
      <c r="L12" s="293"/>
      <c r="M12" s="293"/>
      <c r="N12" s="293"/>
      <c r="O12" s="293"/>
      <c r="P12" s="293"/>
      <c r="Q12" s="294"/>
      <c r="R12" s="57"/>
    </row>
    <row r="13" spans="1:18" s="8" customFormat="1" ht="3.45" hidden="1" customHeight="1">
      <c r="A13" s="51"/>
      <c r="B13" s="178"/>
      <c r="C13" s="178"/>
      <c r="D13" s="221"/>
      <c r="E13" s="226"/>
      <c r="F13" s="221"/>
      <c r="G13" s="178"/>
      <c r="H13" s="178"/>
      <c r="I13" s="178"/>
      <c r="J13" s="146"/>
      <c r="K13" s="178"/>
      <c r="L13" s="178"/>
      <c r="M13" s="178"/>
      <c r="N13" s="185"/>
      <c r="O13" s="178"/>
      <c r="P13" s="178"/>
      <c r="Q13" s="178"/>
      <c r="R13" s="55"/>
    </row>
    <row r="14" spans="1:18" s="8" customFormat="1" ht="16.2" customHeight="1">
      <c r="B14" s="179" t="s">
        <v>52</v>
      </c>
      <c r="C14" s="179"/>
      <c r="D14" s="199" t="s">
        <v>366</v>
      </c>
      <c r="E14" s="227" t="s">
        <v>1</v>
      </c>
      <c r="F14" s="168" t="s">
        <v>2</v>
      </c>
      <c r="G14" s="168" t="s">
        <v>68</v>
      </c>
      <c r="H14" s="169" t="s">
        <v>195</v>
      </c>
      <c r="I14" s="178"/>
      <c r="J14" s="162"/>
      <c r="K14" s="272" t="s">
        <v>648</v>
      </c>
      <c r="L14" s="273"/>
      <c r="M14" s="199" t="s">
        <v>366</v>
      </c>
      <c r="N14" s="227" t="s">
        <v>1</v>
      </c>
      <c r="O14" s="168" t="s">
        <v>2</v>
      </c>
      <c r="P14" s="168" t="s">
        <v>68</v>
      </c>
      <c r="Q14" s="169" t="s">
        <v>195</v>
      </c>
      <c r="R14" s="16" t="s">
        <v>195</v>
      </c>
    </row>
    <row r="15" spans="1:18" s="64" customFormat="1" ht="16.2" customHeight="1">
      <c r="B15" s="266" t="s">
        <v>408</v>
      </c>
      <c r="C15" s="267"/>
      <c r="D15" s="150" t="s">
        <v>475</v>
      </c>
      <c r="E15" s="228">
        <v>4.49</v>
      </c>
      <c r="F15" s="174">
        <v>60</v>
      </c>
      <c r="G15" s="153"/>
      <c r="H15" s="158">
        <f>(E15*G15)</f>
        <v>0</v>
      </c>
      <c r="I15" s="178"/>
      <c r="J15" s="145"/>
      <c r="K15" s="266" t="s">
        <v>162</v>
      </c>
      <c r="L15" s="267"/>
      <c r="M15" s="150" t="s">
        <v>522</v>
      </c>
      <c r="N15" s="228">
        <v>54.99</v>
      </c>
      <c r="O15" s="180">
        <v>8</v>
      </c>
      <c r="P15" s="153"/>
      <c r="Q15" s="158">
        <f>(N15*P15)</f>
        <v>0</v>
      </c>
      <c r="R15" s="62">
        <f t="shared" ref="R15:R31" si="0">N23*O23*P23</f>
        <v>0</v>
      </c>
    </row>
    <row r="16" spans="1:18" s="64" customFormat="1" ht="16.2" customHeight="1">
      <c r="B16" s="266" t="s">
        <v>622</v>
      </c>
      <c r="C16" s="267"/>
      <c r="D16" s="150" t="s">
        <v>623</v>
      </c>
      <c r="E16" s="228">
        <v>4.49</v>
      </c>
      <c r="F16" s="174">
        <v>60</v>
      </c>
      <c r="G16" s="153"/>
      <c r="H16" s="158">
        <f t="shared" ref="H16:H73" si="1">(E16*G16)</f>
        <v>0</v>
      </c>
      <c r="I16" s="178"/>
      <c r="J16" s="145"/>
      <c r="K16" s="304" t="s">
        <v>163</v>
      </c>
      <c r="L16" s="305"/>
      <c r="M16" s="150" t="s">
        <v>523</v>
      </c>
      <c r="N16" s="229">
        <v>54.99</v>
      </c>
      <c r="O16" s="150">
        <v>8</v>
      </c>
      <c r="P16" s="153"/>
      <c r="Q16" s="158">
        <f t="shared" ref="Q16:Q69" si="2">(N16*P16)</f>
        <v>0</v>
      </c>
      <c r="R16" s="62">
        <f t="shared" si="0"/>
        <v>0</v>
      </c>
    </row>
    <row r="17" spans="2:18" s="64" customFormat="1" ht="16.2" customHeight="1">
      <c r="B17" s="266" t="s">
        <v>624</v>
      </c>
      <c r="C17" s="267"/>
      <c r="D17" s="150" t="s">
        <v>625</v>
      </c>
      <c r="E17" s="228">
        <v>4.49</v>
      </c>
      <c r="F17" s="174">
        <v>60</v>
      </c>
      <c r="G17" s="153"/>
      <c r="H17" s="158">
        <f t="shared" si="1"/>
        <v>0</v>
      </c>
      <c r="I17" s="178"/>
      <c r="J17" s="145"/>
      <c r="K17" s="266" t="s">
        <v>238</v>
      </c>
      <c r="L17" s="267"/>
      <c r="M17" s="150" t="s">
        <v>667</v>
      </c>
      <c r="N17" s="228">
        <v>57.99</v>
      </c>
      <c r="O17" s="180">
        <v>6</v>
      </c>
      <c r="P17" s="153"/>
      <c r="Q17" s="158">
        <f t="shared" si="2"/>
        <v>0</v>
      </c>
      <c r="R17" s="62">
        <f t="shared" si="0"/>
        <v>0</v>
      </c>
    </row>
    <row r="18" spans="2:18" s="64" customFormat="1" ht="16.2" customHeight="1">
      <c r="B18" s="266" t="s">
        <v>626</v>
      </c>
      <c r="C18" s="267"/>
      <c r="D18" s="150" t="s">
        <v>627</v>
      </c>
      <c r="E18" s="228">
        <v>4.49</v>
      </c>
      <c r="F18" s="174">
        <v>60</v>
      </c>
      <c r="G18" s="153"/>
      <c r="H18" s="158">
        <f t="shared" si="1"/>
        <v>0</v>
      </c>
      <c r="I18" s="178"/>
      <c r="J18" s="145"/>
      <c r="K18" s="266" t="s">
        <v>173</v>
      </c>
      <c r="L18" s="267"/>
      <c r="M18" s="150" t="s">
        <v>524</v>
      </c>
      <c r="N18" s="228">
        <v>57.99</v>
      </c>
      <c r="O18" s="180">
        <v>6</v>
      </c>
      <c r="P18" s="153"/>
      <c r="Q18" s="158">
        <f t="shared" si="2"/>
        <v>0</v>
      </c>
      <c r="R18" s="62">
        <f t="shared" si="0"/>
        <v>0</v>
      </c>
    </row>
    <row r="19" spans="2:18" s="64" customFormat="1" ht="16.2" customHeight="1">
      <c r="B19" s="266" t="s">
        <v>57</v>
      </c>
      <c r="C19" s="267"/>
      <c r="D19" s="150" t="s">
        <v>476</v>
      </c>
      <c r="E19" s="228">
        <v>5.49</v>
      </c>
      <c r="F19" s="174">
        <v>80</v>
      </c>
      <c r="G19" s="153"/>
      <c r="H19" s="158">
        <f t="shared" si="1"/>
        <v>0</v>
      </c>
      <c r="I19" s="178"/>
      <c r="J19" s="145"/>
      <c r="K19" s="266" t="s">
        <v>239</v>
      </c>
      <c r="L19" s="267"/>
      <c r="M19" s="150" t="s">
        <v>621</v>
      </c>
      <c r="N19" s="228">
        <v>59.99</v>
      </c>
      <c r="O19" s="180">
        <v>6</v>
      </c>
      <c r="P19" s="153"/>
      <c r="Q19" s="158">
        <f t="shared" si="2"/>
        <v>0</v>
      </c>
      <c r="R19" s="62">
        <f t="shared" si="0"/>
        <v>0</v>
      </c>
    </row>
    <row r="20" spans="2:18" s="64" customFormat="1" ht="16.2" customHeight="1">
      <c r="B20" s="263" t="s">
        <v>139</v>
      </c>
      <c r="C20" s="264"/>
      <c r="D20" s="150" t="s">
        <v>477</v>
      </c>
      <c r="E20" s="228">
        <v>9.99</v>
      </c>
      <c r="F20" s="152">
        <v>48</v>
      </c>
      <c r="G20" s="153"/>
      <c r="H20" s="158">
        <f t="shared" si="1"/>
        <v>0</v>
      </c>
      <c r="I20" s="178"/>
      <c r="J20" s="145"/>
      <c r="K20" s="164" t="s">
        <v>123</v>
      </c>
      <c r="L20" s="165"/>
      <c r="M20" s="199" t="s">
        <v>365</v>
      </c>
      <c r="N20" s="167" t="s">
        <v>1</v>
      </c>
      <c r="O20" s="168" t="s">
        <v>2</v>
      </c>
      <c r="P20" s="168" t="s">
        <v>68</v>
      </c>
      <c r="Q20" s="169" t="s">
        <v>195</v>
      </c>
      <c r="R20" s="62">
        <f t="shared" si="0"/>
        <v>0</v>
      </c>
    </row>
    <row r="21" spans="2:18" s="64" customFormat="1" ht="16.2" customHeight="1">
      <c r="B21" s="266" t="s">
        <v>58</v>
      </c>
      <c r="C21" s="267"/>
      <c r="D21" s="150" t="s">
        <v>478</v>
      </c>
      <c r="E21" s="228">
        <v>16.989999999999998</v>
      </c>
      <c r="F21" s="174">
        <v>36</v>
      </c>
      <c r="G21" s="153"/>
      <c r="H21" s="158">
        <f t="shared" si="1"/>
        <v>0</v>
      </c>
      <c r="I21" s="178"/>
      <c r="J21" s="145"/>
      <c r="K21" s="139" t="s">
        <v>124</v>
      </c>
      <c r="L21" s="140"/>
      <c r="M21" s="150" t="s">
        <v>620</v>
      </c>
      <c r="N21" s="151">
        <v>2.99</v>
      </c>
      <c r="O21" s="191">
        <v>72</v>
      </c>
      <c r="P21" s="153"/>
      <c r="Q21" s="158">
        <f t="shared" si="2"/>
        <v>0</v>
      </c>
      <c r="R21" s="62">
        <f t="shared" si="0"/>
        <v>0</v>
      </c>
    </row>
    <row r="22" spans="2:18" s="64" customFormat="1" ht="16.2" customHeight="1">
      <c r="B22" s="266" t="s">
        <v>158</v>
      </c>
      <c r="C22" s="267"/>
      <c r="D22" s="150" t="s">
        <v>479</v>
      </c>
      <c r="E22" s="228">
        <v>18.989999999999998</v>
      </c>
      <c r="F22" s="174">
        <v>18</v>
      </c>
      <c r="G22" s="153"/>
      <c r="H22" s="158">
        <f t="shared" si="1"/>
        <v>0</v>
      </c>
      <c r="I22" s="178"/>
      <c r="J22" s="145"/>
      <c r="K22" s="286" t="s">
        <v>11</v>
      </c>
      <c r="L22" s="295"/>
      <c r="M22" s="200" t="s">
        <v>365</v>
      </c>
      <c r="N22" s="167" t="s">
        <v>1</v>
      </c>
      <c r="O22" s="168" t="s">
        <v>2</v>
      </c>
      <c r="P22" s="168" t="s">
        <v>68</v>
      </c>
      <c r="Q22" s="169" t="s">
        <v>195</v>
      </c>
      <c r="R22" s="62">
        <f t="shared" si="0"/>
        <v>0</v>
      </c>
    </row>
    <row r="23" spans="2:18" s="64" customFormat="1" ht="16.2" customHeight="1">
      <c r="B23" s="266" t="s">
        <v>234</v>
      </c>
      <c r="C23" s="267"/>
      <c r="D23" s="150" t="s">
        <v>482</v>
      </c>
      <c r="E23" s="228">
        <v>19.989999999999998</v>
      </c>
      <c r="F23" s="174">
        <v>24</v>
      </c>
      <c r="G23" s="153"/>
      <c r="H23" s="158">
        <f t="shared" si="1"/>
        <v>0</v>
      </c>
      <c r="I23" s="178"/>
      <c r="J23" s="145"/>
      <c r="K23" s="263" t="s">
        <v>14</v>
      </c>
      <c r="L23" s="264"/>
      <c r="M23" s="150" t="s">
        <v>525</v>
      </c>
      <c r="N23" s="151">
        <v>6.99</v>
      </c>
      <c r="O23" s="163">
        <v>30</v>
      </c>
      <c r="P23" s="153"/>
      <c r="Q23" s="158">
        <f t="shared" si="2"/>
        <v>0</v>
      </c>
      <c r="R23" s="62">
        <f t="shared" si="0"/>
        <v>0</v>
      </c>
    </row>
    <row r="24" spans="2:18" s="64" customFormat="1" ht="16.2" customHeight="1">
      <c r="B24" s="263" t="s">
        <v>53</v>
      </c>
      <c r="C24" s="264"/>
      <c r="D24" s="150" t="s">
        <v>480</v>
      </c>
      <c r="E24" s="228">
        <v>21.99</v>
      </c>
      <c r="F24" s="152">
        <v>18</v>
      </c>
      <c r="G24" s="153"/>
      <c r="H24" s="158">
        <f t="shared" si="1"/>
        <v>0</v>
      </c>
      <c r="I24" s="178"/>
      <c r="J24" s="145"/>
      <c r="K24" s="263" t="s">
        <v>12</v>
      </c>
      <c r="L24" s="264"/>
      <c r="M24" s="150" t="s">
        <v>526</v>
      </c>
      <c r="N24" s="151">
        <v>6.99</v>
      </c>
      <c r="O24" s="163">
        <v>30</v>
      </c>
      <c r="P24" s="153"/>
      <c r="Q24" s="158">
        <f t="shared" si="2"/>
        <v>0</v>
      </c>
      <c r="R24" s="62">
        <f t="shared" si="0"/>
        <v>0</v>
      </c>
    </row>
    <row r="25" spans="2:18" s="64" customFormat="1" ht="16.2" customHeight="1">
      <c r="B25" s="263" t="s">
        <v>628</v>
      </c>
      <c r="C25" s="264"/>
      <c r="D25" s="150" t="s">
        <v>629</v>
      </c>
      <c r="E25" s="228">
        <v>22.99</v>
      </c>
      <c r="F25" s="152">
        <v>10</v>
      </c>
      <c r="G25" s="153"/>
      <c r="H25" s="158">
        <f t="shared" si="1"/>
        <v>0</v>
      </c>
      <c r="I25" s="178"/>
      <c r="J25" s="145"/>
      <c r="K25" s="263" t="s">
        <v>13</v>
      </c>
      <c r="L25" s="264"/>
      <c r="M25" s="150" t="s">
        <v>527</v>
      </c>
      <c r="N25" s="151">
        <v>6.99</v>
      </c>
      <c r="O25" s="163">
        <v>30</v>
      </c>
      <c r="P25" s="153"/>
      <c r="Q25" s="158">
        <f t="shared" si="2"/>
        <v>0</v>
      </c>
      <c r="R25" s="62">
        <f t="shared" si="0"/>
        <v>0</v>
      </c>
    </row>
    <row r="26" spans="2:18" s="64" customFormat="1" ht="16.2" customHeight="1">
      <c r="B26" s="266" t="s">
        <v>179</v>
      </c>
      <c r="C26" s="267"/>
      <c r="D26" s="150" t="s">
        <v>483</v>
      </c>
      <c r="E26" s="228">
        <v>22.99</v>
      </c>
      <c r="F26" s="174">
        <v>18</v>
      </c>
      <c r="G26" s="153"/>
      <c r="H26" s="158">
        <f t="shared" si="1"/>
        <v>0</v>
      </c>
      <c r="I26" s="178"/>
      <c r="J26" s="145"/>
      <c r="K26" s="263" t="s">
        <v>15</v>
      </c>
      <c r="L26" s="264"/>
      <c r="M26" s="150" t="s">
        <v>528</v>
      </c>
      <c r="N26" s="151">
        <v>8.99</v>
      </c>
      <c r="O26" s="163">
        <v>30</v>
      </c>
      <c r="P26" s="153"/>
      <c r="Q26" s="158">
        <f t="shared" si="2"/>
        <v>0</v>
      </c>
      <c r="R26" s="62">
        <f t="shared" si="0"/>
        <v>0</v>
      </c>
    </row>
    <row r="27" spans="2:18" s="64" customFormat="1" ht="16.2" customHeight="1">
      <c r="B27" s="263" t="s">
        <v>54</v>
      </c>
      <c r="C27" s="264"/>
      <c r="D27" s="150" t="s">
        <v>481</v>
      </c>
      <c r="E27" s="228">
        <v>22.99</v>
      </c>
      <c r="F27" s="152">
        <v>10</v>
      </c>
      <c r="G27" s="153"/>
      <c r="H27" s="158">
        <f t="shared" si="1"/>
        <v>0</v>
      </c>
      <c r="I27" s="178"/>
      <c r="J27" s="145"/>
      <c r="K27" s="263" t="s">
        <v>17</v>
      </c>
      <c r="L27" s="264"/>
      <c r="M27" s="150" t="s">
        <v>529</v>
      </c>
      <c r="N27" s="151">
        <v>8.99</v>
      </c>
      <c r="O27" s="163">
        <v>30</v>
      </c>
      <c r="P27" s="153"/>
      <c r="Q27" s="158">
        <f t="shared" si="2"/>
        <v>0</v>
      </c>
      <c r="R27" s="62">
        <f t="shared" si="0"/>
        <v>0</v>
      </c>
    </row>
    <row r="28" spans="2:18" s="64" customFormat="1" ht="16.2" customHeight="1">
      <c r="B28" s="263" t="s">
        <v>172</v>
      </c>
      <c r="C28" s="264"/>
      <c r="D28" s="150" t="s">
        <v>485</v>
      </c>
      <c r="E28" s="228">
        <v>24.99</v>
      </c>
      <c r="F28" s="152">
        <v>12</v>
      </c>
      <c r="G28" s="153"/>
      <c r="H28" s="158">
        <f t="shared" si="1"/>
        <v>0</v>
      </c>
      <c r="I28" s="178"/>
      <c r="J28" s="145"/>
      <c r="K28" s="263" t="s">
        <v>16</v>
      </c>
      <c r="L28" s="264"/>
      <c r="M28" s="150" t="s">
        <v>530</v>
      </c>
      <c r="N28" s="151">
        <v>8.99</v>
      </c>
      <c r="O28" s="163">
        <v>30</v>
      </c>
      <c r="P28" s="153"/>
      <c r="Q28" s="158">
        <f t="shared" si="2"/>
        <v>0</v>
      </c>
      <c r="R28" s="62">
        <f t="shared" si="0"/>
        <v>0</v>
      </c>
    </row>
    <row r="29" spans="2:18" s="64" customFormat="1" ht="16.2" customHeight="1">
      <c r="B29" s="263" t="s">
        <v>174</v>
      </c>
      <c r="C29" s="264"/>
      <c r="D29" s="150" t="s">
        <v>484</v>
      </c>
      <c r="E29" s="228">
        <v>24.99</v>
      </c>
      <c r="F29" s="152">
        <v>12</v>
      </c>
      <c r="G29" s="153"/>
      <c r="H29" s="158">
        <f t="shared" si="1"/>
        <v>0</v>
      </c>
      <c r="I29" s="178"/>
      <c r="J29" s="145"/>
      <c r="K29" s="263" t="s">
        <v>230</v>
      </c>
      <c r="L29" s="264"/>
      <c r="M29" s="150" t="s">
        <v>531</v>
      </c>
      <c r="N29" s="151">
        <v>9.99</v>
      </c>
      <c r="O29" s="163">
        <v>30</v>
      </c>
      <c r="P29" s="153"/>
      <c r="Q29" s="158">
        <f t="shared" si="2"/>
        <v>0</v>
      </c>
      <c r="R29" s="62">
        <f t="shared" si="0"/>
        <v>0</v>
      </c>
    </row>
    <row r="30" spans="2:18" s="64" customFormat="1" ht="16.2" customHeight="1">
      <c r="B30" s="263" t="s">
        <v>59</v>
      </c>
      <c r="C30" s="264"/>
      <c r="D30" s="150" t="s">
        <v>486</v>
      </c>
      <c r="E30" s="228">
        <v>24.99</v>
      </c>
      <c r="F30" s="152">
        <v>12</v>
      </c>
      <c r="G30" s="153"/>
      <c r="H30" s="158">
        <f t="shared" si="1"/>
        <v>0</v>
      </c>
      <c r="I30" s="178"/>
      <c r="J30" s="145"/>
      <c r="K30" s="263" t="s">
        <v>19</v>
      </c>
      <c r="L30" s="264"/>
      <c r="M30" s="150" t="s">
        <v>532</v>
      </c>
      <c r="N30" s="151">
        <v>10.99</v>
      </c>
      <c r="O30" s="163">
        <v>24</v>
      </c>
      <c r="P30" s="153"/>
      <c r="Q30" s="158">
        <f t="shared" si="2"/>
        <v>0</v>
      </c>
      <c r="R30" s="62">
        <f t="shared" si="0"/>
        <v>0</v>
      </c>
    </row>
    <row r="31" spans="2:18" s="64" customFormat="1" ht="16.2" customHeight="1">
      <c r="B31" s="266" t="s">
        <v>630</v>
      </c>
      <c r="C31" s="267"/>
      <c r="D31" s="150" t="s">
        <v>493</v>
      </c>
      <c r="E31" s="228">
        <v>25.99</v>
      </c>
      <c r="F31" s="174">
        <v>12</v>
      </c>
      <c r="G31" s="153"/>
      <c r="H31" s="158">
        <f t="shared" si="1"/>
        <v>0</v>
      </c>
      <c r="I31" s="178"/>
      <c r="J31" s="145"/>
      <c r="K31" s="263" t="s">
        <v>20</v>
      </c>
      <c r="L31" s="264"/>
      <c r="M31" s="150" t="s">
        <v>532</v>
      </c>
      <c r="N31" s="151">
        <v>10.99</v>
      </c>
      <c r="O31" s="163">
        <v>24</v>
      </c>
      <c r="P31" s="153"/>
      <c r="Q31" s="158">
        <f t="shared" si="2"/>
        <v>0</v>
      </c>
      <c r="R31" s="62">
        <f t="shared" si="0"/>
        <v>0</v>
      </c>
    </row>
    <row r="32" spans="2:18" s="64" customFormat="1" ht="16.2" customHeight="1">
      <c r="B32" s="263" t="s">
        <v>631</v>
      </c>
      <c r="C32" s="264"/>
      <c r="D32" s="150" t="s">
        <v>487</v>
      </c>
      <c r="E32" s="228">
        <v>25.99</v>
      </c>
      <c r="F32" s="152">
        <v>6</v>
      </c>
      <c r="G32" s="153"/>
      <c r="H32" s="158">
        <f t="shared" si="1"/>
        <v>0</v>
      </c>
      <c r="I32" s="178"/>
      <c r="J32" s="145"/>
      <c r="K32" s="263" t="s">
        <v>18</v>
      </c>
      <c r="L32" s="264"/>
      <c r="M32" s="150" t="s">
        <v>533</v>
      </c>
      <c r="N32" s="151">
        <v>10.99</v>
      </c>
      <c r="O32" s="163">
        <v>24</v>
      </c>
      <c r="P32" s="153"/>
      <c r="Q32" s="158">
        <f t="shared" si="2"/>
        <v>0</v>
      </c>
      <c r="R32" s="65" t="s">
        <v>195</v>
      </c>
    </row>
    <row r="33" spans="2:18" s="64" customFormat="1" ht="16.2" customHeight="1">
      <c r="B33" s="266" t="s">
        <v>61</v>
      </c>
      <c r="C33" s="267"/>
      <c r="D33" s="150" t="s">
        <v>489</v>
      </c>
      <c r="E33" s="228">
        <v>26.99</v>
      </c>
      <c r="F33" s="174">
        <v>12</v>
      </c>
      <c r="G33" s="153"/>
      <c r="H33" s="158">
        <f t="shared" si="1"/>
        <v>0</v>
      </c>
      <c r="I33" s="178"/>
      <c r="J33" s="145"/>
      <c r="K33" s="263" t="s">
        <v>21</v>
      </c>
      <c r="L33" s="264"/>
      <c r="M33" s="150" t="s">
        <v>534</v>
      </c>
      <c r="N33" s="151">
        <v>14.99</v>
      </c>
      <c r="O33" s="163">
        <v>18</v>
      </c>
      <c r="P33" s="153"/>
      <c r="Q33" s="158">
        <f t="shared" si="2"/>
        <v>0</v>
      </c>
      <c r="R33" s="62">
        <f t="shared" ref="R33:R46" si="3">N41*O41*P41</f>
        <v>0</v>
      </c>
    </row>
    <row r="34" spans="2:18" s="64" customFormat="1" ht="16.2" customHeight="1">
      <c r="B34" s="263" t="s">
        <v>140</v>
      </c>
      <c r="C34" s="264"/>
      <c r="D34" s="150" t="s">
        <v>490</v>
      </c>
      <c r="E34" s="228">
        <v>26.99</v>
      </c>
      <c r="F34" s="174">
        <v>12</v>
      </c>
      <c r="G34" s="153"/>
      <c r="H34" s="158">
        <f t="shared" si="1"/>
        <v>0</v>
      </c>
      <c r="I34" s="178"/>
      <c r="J34" s="145"/>
      <c r="K34" s="263" t="s">
        <v>23</v>
      </c>
      <c r="L34" s="264"/>
      <c r="M34" s="150" t="s">
        <v>535</v>
      </c>
      <c r="N34" s="151">
        <v>14.99</v>
      </c>
      <c r="O34" s="163">
        <v>18</v>
      </c>
      <c r="P34" s="153"/>
      <c r="Q34" s="158">
        <f t="shared" si="2"/>
        <v>0</v>
      </c>
      <c r="R34" s="62">
        <f t="shared" si="3"/>
        <v>0</v>
      </c>
    </row>
    <row r="35" spans="2:18" s="64" customFormat="1" ht="16.2" customHeight="1">
      <c r="B35" s="263" t="s">
        <v>175</v>
      </c>
      <c r="C35" s="264"/>
      <c r="D35" s="150" t="s">
        <v>488</v>
      </c>
      <c r="E35" s="228">
        <v>27.99</v>
      </c>
      <c r="F35" s="152">
        <v>12</v>
      </c>
      <c r="G35" s="153"/>
      <c r="H35" s="158">
        <f t="shared" si="1"/>
        <v>0</v>
      </c>
      <c r="I35" s="178"/>
      <c r="J35" s="145"/>
      <c r="K35" s="266" t="s">
        <v>112</v>
      </c>
      <c r="L35" s="267"/>
      <c r="M35" s="150" t="s">
        <v>536</v>
      </c>
      <c r="N35" s="151">
        <v>14.99</v>
      </c>
      <c r="O35" s="201">
        <v>18</v>
      </c>
      <c r="P35" s="153"/>
      <c r="Q35" s="158">
        <f t="shared" si="2"/>
        <v>0</v>
      </c>
      <c r="R35" s="62">
        <f t="shared" si="3"/>
        <v>0</v>
      </c>
    </row>
    <row r="36" spans="2:18" s="64" customFormat="1" ht="16.2" customHeight="1">
      <c r="B36" s="266" t="s">
        <v>235</v>
      </c>
      <c r="C36" s="267"/>
      <c r="D36" s="150" t="s">
        <v>491</v>
      </c>
      <c r="E36" s="228">
        <v>27.99</v>
      </c>
      <c r="F36" s="174">
        <v>8</v>
      </c>
      <c r="G36" s="153"/>
      <c r="H36" s="158">
        <f t="shared" si="1"/>
        <v>0</v>
      </c>
      <c r="I36" s="178"/>
      <c r="J36" s="145"/>
      <c r="K36" s="263" t="s">
        <v>24</v>
      </c>
      <c r="L36" s="264"/>
      <c r="M36" s="150" t="s">
        <v>537</v>
      </c>
      <c r="N36" s="151">
        <v>14.99</v>
      </c>
      <c r="O36" s="163">
        <v>18</v>
      </c>
      <c r="P36" s="153"/>
      <c r="Q36" s="158">
        <f t="shared" si="2"/>
        <v>0</v>
      </c>
      <c r="R36" s="62">
        <f t="shared" si="3"/>
        <v>0</v>
      </c>
    </row>
    <row r="37" spans="2:18" s="64" customFormat="1" ht="16.2" customHeight="1">
      <c r="B37" s="266" t="s">
        <v>55</v>
      </c>
      <c r="C37" s="267"/>
      <c r="D37" s="150" t="s">
        <v>492</v>
      </c>
      <c r="E37" s="228">
        <v>27.99</v>
      </c>
      <c r="F37" s="174">
        <v>12</v>
      </c>
      <c r="G37" s="153"/>
      <c r="H37" s="158">
        <f t="shared" si="1"/>
        <v>0</v>
      </c>
      <c r="I37" s="178"/>
      <c r="J37" s="145"/>
      <c r="K37" s="263" t="s">
        <v>22</v>
      </c>
      <c r="L37" s="264"/>
      <c r="M37" s="150" t="s">
        <v>538</v>
      </c>
      <c r="N37" s="151">
        <v>14.99</v>
      </c>
      <c r="O37" s="163">
        <v>18</v>
      </c>
      <c r="P37" s="153"/>
      <c r="Q37" s="158">
        <f t="shared" si="2"/>
        <v>0</v>
      </c>
      <c r="R37" s="62">
        <f t="shared" si="3"/>
        <v>0</v>
      </c>
    </row>
    <row r="38" spans="2:18" s="64" customFormat="1" ht="16.2" customHeight="1">
      <c r="B38" s="269" t="s">
        <v>632</v>
      </c>
      <c r="C38" s="269"/>
      <c r="D38" s="150" t="s">
        <v>633</v>
      </c>
      <c r="E38" s="229">
        <v>29.99</v>
      </c>
      <c r="F38" s="150">
        <v>12</v>
      </c>
      <c r="G38" s="241"/>
      <c r="H38" s="158">
        <f t="shared" si="1"/>
        <v>0</v>
      </c>
      <c r="I38" s="178"/>
      <c r="J38" s="145"/>
      <c r="K38" s="263" t="s">
        <v>25</v>
      </c>
      <c r="L38" s="264"/>
      <c r="M38" s="150" t="s">
        <v>539</v>
      </c>
      <c r="N38" s="156">
        <v>15.99</v>
      </c>
      <c r="O38" s="163">
        <v>18</v>
      </c>
      <c r="P38" s="153"/>
      <c r="Q38" s="158">
        <f t="shared" si="2"/>
        <v>0</v>
      </c>
      <c r="R38" s="62">
        <f t="shared" si="3"/>
        <v>0</v>
      </c>
    </row>
    <row r="39" spans="2:18" s="64" customFormat="1" ht="16.2" customHeight="1">
      <c r="B39" s="263" t="s">
        <v>185</v>
      </c>
      <c r="C39" s="264"/>
      <c r="D39" s="150" t="s">
        <v>496</v>
      </c>
      <c r="E39" s="228">
        <v>29.99</v>
      </c>
      <c r="F39" s="152">
        <v>12</v>
      </c>
      <c r="G39" s="153"/>
      <c r="H39" s="158">
        <f t="shared" si="1"/>
        <v>0</v>
      </c>
      <c r="I39" s="178"/>
      <c r="J39" s="145"/>
      <c r="K39" s="266" t="s">
        <v>126</v>
      </c>
      <c r="L39" s="267"/>
      <c r="M39" s="150" t="s">
        <v>540</v>
      </c>
      <c r="N39" s="156">
        <v>31.99</v>
      </c>
      <c r="O39" s="163">
        <v>12</v>
      </c>
      <c r="P39" s="153"/>
      <c r="Q39" s="158">
        <f t="shared" si="2"/>
        <v>0</v>
      </c>
      <c r="R39" s="62">
        <f t="shared" si="3"/>
        <v>0</v>
      </c>
    </row>
    <row r="40" spans="2:18" s="64" customFormat="1" ht="16.2" customHeight="1">
      <c r="B40" s="263" t="s">
        <v>60</v>
      </c>
      <c r="C40" s="264"/>
      <c r="D40" s="150" t="s">
        <v>495</v>
      </c>
      <c r="E40" s="228">
        <v>29.99</v>
      </c>
      <c r="F40" s="152">
        <v>12</v>
      </c>
      <c r="G40" s="153"/>
      <c r="H40" s="158">
        <f t="shared" si="1"/>
        <v>0</v>
      </c>
      <c r="I40" s="178"/>
      <c r="J40" s="145"/>
      <c r="K40" s="164" t="s">
        <v>0</v>
      </c>
      <c r="L40" s="165"/>
      <c r="M40" s="202" t="s">
        <v>365</v>
      </c>
      <c r="N40" s="147" t="s">
        <v>1</v>
      </c>
      <c r="O40" s="143" t="s">
        <v>2</v>
      </c>
      <c r="P40" s="143" t="s">
        <v>68</v>
      </c>
      <c r="Q40" s="169" t="s">
        <v>195</v>
      </c>
      <c r="R40" s="62">
        <f t="shared" si="3"/>
        <v>0</v>
      </c>
    </row>
    <row r="41" spans="2:18" s="64" customFormat="1" ht="16.2" customHeight="1">
      <c r="B41" s="266" t="s">
        <v>176</v>
      </c>
      <c r="C41" s="267"/>
      <c r="D41" s="150" t="s">
        <v>494</v>
      </c>
      <c r="E41" s="228">
        <v>29.99</v>
      </c>
      <c r="F41" s="174">
        <v>12</v>
      </c>
      <c r="G41" s="153"/>
      <c r="H41" s="158">
        <f t="shared" si="1"/>
        <v>0</v>
      </c>
      <c r="I41" s="178"/>
      <c r="J41" s="145"/>
      <c r="K41" s="139" t="s">
        <v>3</v>
      </c>
      <c r="L41" s="140"/>
      <c r="M41" s="150" t="s">
        <v>541</v>
      </c>
      <c r="N41" s="151">
        <v>0.99</v>
      </c>
      <c r="O41" s="163">
        <v>288</v>
      </c>
      <c r="P41" s="153"/>
      <c r="Q41" s="158">
        <f t="shared" si="2"/>
        <v>0</v>
      </c>
      <c r="R41" s="62">
        <f t="shared" si="3"/>
        <v>0</v>
      </c>
    </row>
    <row r="42" spans="2:18" s="64" customFormat="1" ht="16.2" customHeight="1">
      <c r="B42" s="263" t="s">
        <v>56</v>
      </c>
      <c r="C42" s="264"/>
      <c r="D42" s="150" t="s">
        <v>497</v>
      </c>
      <c r="E42" s="228">
        <v>33.99</v>
      </c>
      <c r="F42" s="152">
        <v>10</v>
      </c>
      <c r="G42" s="153"/>
      <c r="H42" s="158">
        <f t="shared" si="1"/>
        <v>0</v>
      </c>
      <c r="I42" s="178"/>
      <c r="J42" s="145"/>
      <c r="K42" s="139" t="s">
        <v>4</v>
      </c>
      <c r="L42" s="140"/>
      <c r="M42" s="150" t="s">
        <v>542</v>
      </c>
      <c r="N42" s="151">
        <v>1.29</v>
      </c>
      <c r="O42" s="163">
        <v>216</v>
      </c>
      <c r="P42" s="153"/>
      <c r="Q42" s="158">
        <f t="shared" si="2"/>
        <v>0</v>
      </c>
      <c r="R42" s="62">
        <f t="shared" si="3"/>
        <v>0</v>
      </c>
    </row>
    <row r="43" spans="2:18" s="64" customFormat="1" ht="16.2" customHeight="1">
      <c r="B43" s="263" t="s">
        <v>206</v>
      </c>
      <c r="C43" s="264"/>
      <c r="D43" s="150" t="s">
        <v>498</v>
      </c>
      <c r="E43" s="228">
        <v>33.99</v>
      </c>
      <c r="F43" s="174">
        <v>12</v>
      </c>
      <c r="G43" s="153"/>
      <c r="H43" s="158">
        <f t="shared" si="1"/>
        <v>0</v>
      </c>
      <c r="I43" s="178"/>
      <c r="J43" s="145"/>
      <c r="K43" s="139" t="s">
        <v>5</v>
      </c>
      <c r="L43" s="140"/>
      <c r="M43" s="150" t="s">
        <v>543</v>
      </c>
      <c r="N43" s="151">
        <v>1.49</v>
      </c>
      <c r="O43" s="163">
        <v>144</v>
      </c>
      <c r="P43" s="153"/>
      <c r="Q43" s="158">
        <f t="shared" si="2"/>
        <v>0</v>
      </c>
      <c r="R43" s="62">
        <f t="shared" si="3"/>
        <v>0</v>
      </c>
    </row>
    <row r="44" spans="2:18" s="64" customFormat="1" ht="16.2" customHeight="1">
      <c r="B44" s="263" t="s">
        <v>395</v>
      </c>
      <c r="C44" s="264"/>
      <c r="D44" s="150" t="s">
        <v>501</v>
      </c>
      <c r="E44" s="228">
        <v>33.99</v>
      </c>
      <c r="F44" s="174">
        <v>12</v>
      </c>
      <c r="G44" s="153"/>
      <c r="H44" s="158">
        <f t="shared" si="1"/>
        <v>0</v>
      </c>
      <c r="I44" s="178"/>
      <c r="J44" s="145"/>
      <c r="K44" s="263" t="s">
        <v>403</v>
      </c>
      <c r="L44" s="264"/>
      <c r="M44" s="150" t="s">
        <v>544</v>
      </c>
      <c r="N44" s="151">
        <v>1.79</v>
      </c>
      <c r="O44" s="163">
        <v>144</v>
      </c>
      <c r="P44" s="153"/>
      <c r="Q44" s="158">
        <f t="shared" si="2"/>
        <v>0</v>
      </c>
      <c r="R44" s="62">
        <f t="shared" si="3"/>
        <v>0</v>
      </c>
    </row>
    <row r="45" spans="2:18" s="64" customFormat="1" ht="16.2" customHeight="1">
      <c r="B45" s="263" t="s">
        <v>396</v>
      </c>
      <c r="C45" s="264"/>
      <c r="D45" s="150" t="s">
        <v>502</v>
      </c>
      <c r="E45" s="228">
        <v>33.99</v>
      </c>
      <c r="F45" s="174">
        <v>8</v>
      </c>
      <c r="G45" s="153"/>
      <c r="H45" s="158">
        <f t="shared" si="1"/>
        <v>0</v>
      </c>
      <c r="I45" s="178"/>
      <c r="J45" s="145"/>
      <c r="K45" s="263" t="s">
        <v>404</v>
      </c>
      <c r="L45" s="264"/>
      <c r="M45" s="150" t="s">
        <v>545</v>
      </c>
      <c r="N45" s="151">
        <v>1.99</v>
      </c>
      <c r="O45" s="163">
        <v>144</v>
      </c>
      <c r="P45" s="153"/>
      <c r="Q45" s="158">
        <f t="shared" si="2"/>
        <v>0</v>
      </c>
      <c r="R45" s="62">
        <f t="shared" si="3"/>
        <v>0</v>
      </c>
    </row>
    <row r="46" spans="2:18" s="64" customFormat="1" ht="16.2" customHeight="1">
      <c r="B46" s="263" t="s">
        <v>394</v>
      </c>
      <c r="C46" s="264"/>
      <c r="D46" s="150" t="s">
        <v>499</v>
      </c>
      <c r="E46" s="228">
        <v>33.99</v>
      </c>
      <c r="F46" s="174">
        <v>8</v>
      </c>
      <c r="G46" s="153"/>
      <c r="H46" s="158">
        <f t="shared" si="1"/>
        <v>0</v>
      </c>
      <c r="I46" s="178"/>
      <c r="J46" s="145"/>
      <c r="K46" s="139" t="s">
        <v>6</v>
      </c>
      <c r="L46" s="140"/>
      <c r="M46" s="150" t="s">
        <v>546</v>
      </c>
      <c r="N46" s="151">
        <v>1.99</v>
      </c>
      <c r="O46" s="163">
        <v>144</v>
      </c>
      <c r="P46" s="153"/>
      <c r="Q46" s="158">
        <f t="shared" si="2"/>
        <v>0</v>
      </c>
      <c r="R46" s="62">
        <f t="shared" si="3"/>
        <v>0</v>
      </c>
    </row>
    <row r="47" spans="2:18" s="64" customFormat="1" ht="16.2" customHeight="1">
      <c r="B47" s="263" t="s">
        <v>634</v>
      </c>
      <c r="C47" s="264"/>
      <c r="D47" s="150" t="s">
        <v>500</v>
      </c>
      <c r="E47" s="228">
        <v>33.99</v>
      </c>
      <c r="F47" s="174">
        <v>8</v>
      </c>
      <c r="G47" s="153"/>
      <c r="H47" s="158">
        <f t="shared" si="1"/>
        <v>0</v>
      </c>
      <c r="I47" s="178"/>
      <c r="J47" s="145"/>
      <c r="K47" s="139" t="s">
        <v>8</v>
      </c>
      <c r="L47" s="140"/>
      <c r="M47" s="150" t="s">
        <v>547</v>
      </c>
      <c r="N47" s="156">
        <v>3.99</v>
      </c>
      <c r="O47" s="163">
        <v>96</v>
      </c>
      <c r="P47" s="153"/>
      <c r="Q47" s="158">
        <f t="shared" si="2"/>
        <v>0</v>
      </c>
      <c r="R47" s="63" t="s">
        <v>195</v>
      </c>
    </row>
    <row r="48" spans="2:18" s="64" customFormat="1" ht="16.2" customHeight="1">
      <c r="B48" s="269" t="s">
        <v>635</v>
      </c>
      <c r="C48" s="269"/>
      <c r="D48" s="150" t="s">
        <v>636</v>
      </c>
      <c r="E48" s="229">
        <v>34.99</v>
      </c>
      <c r="F48" s="150">
        <v>10</v>
      </c>
      <c r="G48" s="241"/>
      <c r="H48" s="158">
        <f t="shared" si="1"/>
        <v>0</v>
      </c>
      <c r="I48" s="178"/>
      <c r="J48" s="145"/>
      <c r="K48" s="139" t="s">
        <v>9</v>
      </c>
      <c r="L48" s="140"/>
      <c r="M48" s="150" t="s">
        <v>548</v>
      </c>
      <c r="N48" s="156">
        <v>3.99</v>
      </c>
      <c r="O48" s="163">
        <v>96</v>
      </c>
      <c r="P48" s="153"/>
      <c r="Q48" s="158">
        <f t="shared" si="2"/>
        <v>0</v>
      </c>
      <c r="R48" s="62">
        <f t="shared" ref="R48:R55" si="4">N56*O56*P56</f>
        <v>0</v>
      </c>
    </row>
    <row r="49" spans="1:18" s="64" customFormat="1" ht="16.2" customHeight="1">
      <c r="B49" s="265" t="s">
        <v>637</v>
      </c>
      <c r="C49" s="265"/>
      <c r="D49" s="150" t="s">
        <v>638</v>
      </c>
      <c r="E49" s="229">
        <v>34.99</v>
      </c>
      <c r="F49" s="150">
        <v>6</v>
      </c>
      <c r="G49" s="241"/>
      <c r="H49" s="158">
        <f t="shared" si="1"/>
        <v>0</v>
      </c>
      <c r="I49" s="178"/>
      <c r="J49" s="145"/>
      <c r="K49" s="139" t="s">
        <v>7</v>
      </c>
      <c r="L49" s="140"/>
      <c r="M49" s="150" t="s">
        <v>549</v>
      </c>
      <c r="N49" s="156">
        <v>3.99</v>
      </c>
      <c r="O49" s="163">
        <v>96</v>
      </c>
      <c r="P49" s="153"/>
      <c r="Q49" s="158">
        <f t="shared" si="2"/>
        <v>0</v>
      </c>
      <c r="R49" s="62">
        <f t="shared" si="4"/>
        <v>0</v>
      </c>
    </row>
    <row r="50" spans="1:18" s="64" customFormat="1" ht="16.2" customHeight="1">
      <c r="B50" s="263" t="s">
        <v>184</v>
      </c>
      <c r="C50" s="264"/>
      <c r="D50" s="150" t="s">
        <v>505</v>
      </c>
      <c r="E50" s="228">
        <v>36.99</v>
      </c>
      <c r="F50" s="174">
        <v>8</v>
      </c>
      <c r="G50" s="153"/>
      <c r="H50" s="158">
        <f t="shared" si="1"/>
        <v>0</v>
      </c>
      <c r="I50" s="178"/>
      <c r="J50" s="145"/>
      <c r="K50" s="139" t="s">
        <v>10</v>
      </c>
      <c r="L50" s="203"/>
      <c r="M50" s="150" t="s">
        <v>550</v>
      </c>
      <c r="N50" s="156">
        <v>3.99</v>
      </c>
      <c r="O50" s="163">
        <v>96</v>
      </c>
      <c r="P50" s="153"/>
      <c r="Q50" s="158">
        <f t="shared" si="2"/>
        <v>0</v>
      </c>
      <c r="R50" s="62">
        <f t="shared" si="4"/>
        <v>0</v>
      </c>
    </row>
    <row r="51" spans="1:18" s="64" customFormat="1" ht="16.2" customHeight="1">
      <c r="B51" s="263" t="s">
        <v>183</v>
      </c>
      <c r="C51" s="264"/>
      <c r="D51" s="150" t="s">
        <v>504</v>
      </c>
      <c r="E51" s="228">
        <v>36.99</v>
      </c>
      <c r="F51" s="174">
        <v>8</v>
      </c>
      <c r="G51" s="153"/>
      <c r="H51" s="158">
        <f t="shared" si="1"/>
        <v>0</v>
      </c>
      <c r="I51" s="178"/>
      <c r="J51" s="145"/>
      <c r="K51" s="148" t="s">
        <v>144</v>
      </c>
      <c r="L51" s="149"/>
      <c r="M51" s="150" t="s">
        <v>551</v>
      </c>
      <c r="N51" s="151">
        <v>5.99</v>
      </c>
      <c r="O51" s="163">
        <v>96</v>
      </c>
      <c r="P51" s="153"/>
      <c r="Q51" s="158">
        <f t="shared" si="2"/>
        <v>0</v>
      </c>
      <c r="R51" s="62">
        <f t="shared" si="4"/>
        <v>0</v>
      </c>
    </row>
    <row r="52" spans="1:18" s="64" customFormat="1" ht="16.2" customHeight="1">
      <c r="B52" s="263" t="s">
        <v>178</v>
      </c>
      <c r="C52" s="264"/>
      <c r="D52" s="150" t="s">
        <v>503</v>
      </c>
      <c r="E52" s="228">
        <v>36.99</v>
      </c>
      <c r="F52" s="174">
        <v>8</v>
      </c>
      <c r="G52" s="153"/>
      <c r="H52" s="158">
        <f t="shared" si="1"/>
        <v>0</v>
      </c>
      <c r="I52" s="178"/>
      <c r="J52" s="145"/>
      <c r="K52" s="148" t="s">
        <v>145</v>
      </c>
      <c r="L52" s="149"/>
      <c r="M52" s="150" t="s">
        <v>552</v>
      </c>
      <c r="N52" s="151">
        <v>5.99</v>
      </c>
      <c r="O52" s="163">
        <v>96</v>
      </c>
      <c r="P52" s="153"/>
      <c r="Q52" s="158">
        <f t="shared" si="2"/>
        <v>0</v>
      </c>
      <c r="R52" s="62">
        <f t="shared" si="4"/>
        <v>0</v>
      </c>
    </row>
    <row r="53" spans="1:18" s="64" customFormat="1" ht="16.2" customHeight="1">
      <c r="B53" s="139" t="s">
        <v>397</v>
      </c>
      <c r="C53" s="140"/>
      <c r="D53" s="150" t="s">
        <v>506</v>
      </c>
      <c r="E53" s="228">
        <v>36.99</v>
      </c>
      <c r="F53" s="174">
        <v>8</v>
      </c>
      <c r="G53" s="153"/>
      <c r="H53" s="158">
        <f t="shared" si="1"/>
        <v>0</v>
      </c>
      <c r="I53" s="178"/>
      <c r="J53" s="145"/>
      <c r="K53" s="148" t="s">
        <v>118</v>
      </c>
      <c r="L53" s="149"/>
      <c r="M53" s="150" t="s">
        <v>553</v>
      </c>
      <c r="N53" s="151">
        <v>5.99</v>
      </c>
      <c r="O53" s="204">
        <v>96</v>
      </c>
      <c r="P53" s="153"/>
      <c r="Q53" s="158">
        <f t="shared" si="2"/>
        <v>0</v>
      </c>
      <c r="R53" s="62">
        <f t="shared" si="4"/>
        <v>0</v>
      </c>
    </row>
    <row r="54" spans="1:18" s="64" customFormat="1" ht="16.2" customHeight="1">
      <c r="B54" s="139" t="s">
        <v>639</v>
      </c>
      <c r="C54" s="140"/>
      <c r="D54" s="150" t="s">
        <v>507</v>
      </c>
      <c r="E54" s="228">
        <v>38.99</v>
      </c>
      <c r="F54" s="174">
        <v>6</v>
      </c>
      <c r="G54" s="153"/>
      <c r="H54" s="158">
        <f t="shared" si="1"/>
        <v>0</v>
      </c>
      <c r="I54" s="178"/>
      <c r="J54" s="145"/>
      <c r="K54" s="139" t="s">
        <v>117</v>
      </c>
      <c r="L54" s="140"/>
      <c r="M54" s="150" t="s">
        <v>554</v>
      </c>
      <c r="N54" s="151">
        <v>5.99</v>
      </c>
      <c r="O54" s="163">
        <v>96</v>
      </c>
      <c r="P54" s="153"/>
      <c r="Q54" s="158">
        <f t="shared" si="2"/>
        <v>0</v>
      </c>
      <c r="R54" s="62">
        <f t="shared" si="4"/>
        <v>0</v>
      </c>
    </row>
    <row r="55" spans="1:18" s="64" customFormat="1" ht="16.2" customHeight="1">
      <c r="B55" s="263" t="s">
        <v>640</v>
      </c>
      <c r="C55" s="264"/>
      <c r="D55" s="150" t="s">
        <v>508</v>
      </c>
      <c r="E55" s="228">
        <v>38.99</v>
      </c>
      <c r="F55" s="174">
        <v>6</v>
      </c>
      <c r="G55" s="153"/>
      <c r="H55" s="158">
        <f t="shared" si="1"/>
        <v>0</v>
      </c>
      <c r="I55" s="178"/>
      <c r="J55" s="145"/>
      <c r="K55" s="164" t="s">
        <v>135</v>
      </c>
      <c r="L55" s="165"/>
      <c r="M55" s="202" t="s">
        <v>365</v>
      </c>
      <c r="N55" s="167" t="s">
        <v>1</v>
      </c>
      <c r="O55" s="168" t="s">
        <v>2</v>
      </c>
      <c r="P55" s="168" t="s">
        <v>68</v>
      </c>
      <c r="Q55" s="169" t="s">
        <v>195</v>
      </c>
      <c r="R55" s="62">
        <f t="shared" si="4"/>
        <v>0</v>
      </c>
    </row>
    <row r="56" spans="1:18" s="64" customFormat="1" ht="16.2" customHeight="1">
      <c r="B56" s="263" t="s">
        <v>641</v>
      </c>
      <c r="C56" s="264"/>
      <c r="D56" s="150" t="s">
        <v>509</v>
      </c>
      <c r="E56" s="228">
        <v>38.99</v>
      </c>
      <c r="F56" s="174">
        <v>8</v>
      </c>
      <c r="G56" s="153"/>
      <c r="H56" s="158">
        <f t="shared" si="1"/>
        <v>0</v>
      </c>
      <c r="I56" s="178"/>
      <c r="J56" s="145"/>
      <c r="K56" s="139" t="s">
        <v>30</v>
      </c>
      <c r="L56" s="140"/>
      <c r="M56" s="150" t="s">
        <v>555</v>
      </c>
      <c r="N56" s="151">
        <v>1.19</v>
      </c>
      <c r="O56" s="163">
        <v>288</v>
      </c>
      <c r="P56" s="153"/>
      <c r="Q56" s="158">
        <f t="shared" si="2"/>
        <v>0</v>
      </c>
      <c r="R56" s="62" t="e">
        <f>#REF!*#REF!*#REF!</f>
        <v>#REF!</v>
      </c>
    </row>
    <row r="57" spans="1:18" s="64" customFormat="1" ht="16.2" customHeight="1">
      <c r="B57" s="271" t="s">
        <v>644</v>
      </c>
      <c r="C57" s="271"/>
      <c r="D57" s="150" t="s">
        <v>645</v>
      </c>
      <c r="E57" s="154">
        <v>39.99</v>
      </c>
      <c r="F57" s="243">
        <v>8</v>
      </c>
      <c r="G57" s="241"/>
      <c r="H57" s="158">
        <f t="shared" si="1"/>
        <v>0</v>
      </c>
      <c r="I57" s="178"/>
      <c r="J57" s="145"/>
      <c r="K57" s="139" t="s">
        <v>31</v>
      </c>
      <c r="L57" s="140"/>
      <c r="M57" s="150" t="s">
        <v>556</v>
      </c>
      <c r="N57" s="151">
        <v>1.49</v>
      </c>
      <c r="O57" s="163">
        <v>144</v>
      </c>
      <c r="P57" s="153"/>
      <c r="Q57" s="158">
        <f t="shared" si="2"/>
        <v>0</v>
      </c>
      <c r="R57" s="62">
        <f>N65*O65*P65</f>
        <v>0</v>
      </c>
    </row>
    <row r="58" spans="1:18" s="64" customFormat="1" ht="16.2" customHeight="1">
      <c r="B58" s="270" t="s">
        <v>193</v>
      </c>
      <c r="C58" s="270"/>
      <c r="D58" s="150" t="s">
        <v>510</v>
      </c>
      <c r="E58" s="228">
        <v>39.99</v>
      </c>
      <c r="F58" s="242">
        <v>6</v>
      </c>
      <c r="G58" s="153"/>
      <c r="H58" s="158">
        <f t="shared" si="1"/>
        <v>0</v>
      </c>
      <c r="I58" s="178"/>
      <c r="J58" s="145"/>
      <c r="K58" s="139" t="s">
        <v>191</v>
      </c>
      <c r="L58" s="140"/>
      <c r="M58" s="150" t="s">
        <v>557</v>
      </c>
      <c r="N58" s="151">
        <v>1.99</v>
      </c>
      <c r="O58" s="163">
        <v>144</v>
      </c>
      <c r="P58" s="153"/>
      <c r="Q58" s="158">
        <f t="shared" si="2"/>
        <v>0</v>
      </c>
      <c r="R58" s="62">
        <f>N66*O66*P66</f>
        <v>0</v>
      </c>
    </row>
    <row r="59" spans="1:18" s="64" customFormat="1" ht="16.2" customHeight="1">
      <c r="B59" s="304" t="s">
        <v>646</v>
      </c>
      <c r="C59" s="305"/>
      <c r="D59" s="150" t="s">
        <v>647</v>
      </c>
      <c r="E59" s="244">
        <v>43.99</v>
      </c>
      <c r="F59" s="150">
        <v>8</v>
      </c>
      <c r="G59" s="241"/>
      <c r="H59" s="158">
        <f t="shared" si="1"/>
        <v>0</v>
      </c>
      <c r="I59" s="178"/>
      <c r="J59" s="145"/>
      <c r="K59" s="139" t="s">
        <v>192</v>
      </c>
      <c r="L59" s="140"/>
      <c r="M59" s="150" t="s">
        <v>558</v>
      </c>
      <c r="N59" s="151">
        <v>2.99</v>
      </c>
      <c r="O59" s="163">
        <v>144</v>
      </c>
      <c r="P59" s="153"/>
      <c r="Q59" s="158">
        <f t="shared" si="2"/>
        <v>0</v>
      </c>
      <c r="R59" s="62">
        <f>N67*O67*P67</f>
        <v>0</v>
      </c>
    </row>
    <row r="60" spans="1:18" s="64" customFormat="1" ht="16.2" customHeight="1">
      <c r="B60" s="268" t="s">
        <v>398</v>
      </c>
      <c r="C60" s="268"/>
      <c r="D60" s="150" t="s">
        <v>512</v>
      </c>
      <c r="E60" s="228">
        <v>43.99</v>
      </c>
      <c r="F60" s="150">
        <v>6</v>
      </c>
      <c r="G60" s="153"/>
      <c r="H60" s="158">
        <f t="shared" si="1"/>
        <v>0</v>
      </c>
      <c r="I60" s="178"/>
      <c r="J60" s="162"/>
      <c r="K60" s="139" t="s">
        <v>32</v>
      </c>
      <c r="L60" s="140"/>
      <c r="M60" s="150" t="s">
        <v>559</v>
      </c>
      <c r="N60" s="151">
        <v>3.99</v>
      </c>
      <c r="O60" s="163">
        <v>96</v>
      </c>
      <c r="P60" s="153"/>
      <c r="Q60" s="158">
        <f t="shared" si="2"/>
        <v>0</v>
      </c>
      <c r="R60" s="62">
        <f>N69*O69*P69</f>
        <v>0</v>
      </c>
    </row>
    <row r="61" spans="1:18" s="64" customFormat="1" ht="16.2" customHeight="1">
      <c r="B61" s="139" t="s">
        <v>194</v>
      </c>
      <c r="C61" s="140"/>
      <c r="D61" s="150" t="s">
        <v>515</v>
      </c>
      <c r="E61" s="228">
        <v>43.99</v>
      </c>
      <c r="F61" s="174">
        <v>6</v>
      </c>
      <c r="G61" s="153"/>
      <c r="H61" s="158">
        <f t="shared" si="1"/>
        <v>0</v>
      </c>
      <c r="I61" s="178"/>
      <c r="J61" s="145"/>
      <c r="K61" s="139" t="s">
        <v>33</v>
      </c>
      <c r="L61" s="140"/>
      <c r="M61" s="150" t="s">
        <v>560</v>
      </c>
      <c r="N61" s="151">
        <v>3.99</v>
      </c>
      <c r="O61" s="163">
        <v>96</v>
      </c>
      <c r="P61" s="153"/>
      <c r="Q61" s="158">
        <f t="shared" si="2"/>
        <v>0</v>
      </c>
      <c r="R61" s="66"/>
    </row>
    <row r="62" spans="1:18" s="64" customFormat="1" ht="16.2" customHeight="1">
      <c r="A62" s="68"/>
      <c r="B62" s="225" t="s">
        <v>236</v>
      </c>
      <c r="C62" s="225"/>
      <c r="D62" s="150" t="s">
        <v>513</v>
      </c>
      <c r="E62" s="228">
        <v>43.99</v>
      </c>
      <c r="F62" s="242">
        <v>8</v>
      </c>
      <c r="G62" s="153"/>
      <c r="H62" s="158">
        <f t="shared" si="1"/>
        <v>0</v>
      </c>
      <c r="I62" s="145"/>
      <c r="J62" s="178"/>
      <c r="K62" s="139" t="s">
        <v>34</v>
      </c>
      <c r="L62" s="140"/>
      <c r="M62" s="150" t="s">
        <v>392</v>
      </c>
      <c r="N62" s="151">
        <v>4.99</v>
      </c>
      <c r="O62" s="163">
        <v>48</v>
      </c>
      <c r="P62" s="153"/>
      <c r="Q62" s="158">
        <f t="shared" si="2"/>
        <v>0</v>
      </c>
      <c r="R62" s="67"/>
    </row>
    <row r="63" spans="1:18" s="8" customFormat="1" ht="16.2" customHeight="1">
      <c r="A63" s="51"/>
      <c r="B63" s="263" t="s">
        <v>237</v>
      </c>
      <c r="C63" s="264"/>
      <c r="D63" s="150" t="s">
        <v>514</v>
      </c>
      <c r="E63" s="228">
        <v>43.99</v>
      </c>
      <c r="F63" s="174">
        <v>8</v>
      </c>
      <c r="G63" s="153"/>
      <c r="H63" s="158">
        <f t="shared" si="1"/>
        <v>0</v>
      </c>
      <c r="I63" s="145"/>
      <c r="J63" s="178"/>
      <c r="K63" s="139" t="s">
        <v>35</v>
      </c>
      <c r="L63" s="140"/>
      <c r="M63" s="150" t="s">
        <v>561</v>
      </c>
      <c r="N63" s="151">
        <v>8.99</v>
      </c>
      <c r="O63" s="163">
        <v>36</v>
      </c>
      <c r="P63" s="153"/>
      <c r="Q63" s="158">
        <f t="shared" si="2"/>
        <v>0</v>
      </c>
      <c r="R63" s="56"/>
    </row>
    <row r="64" spans="1:18" s="8" customFormat="1" ht="16.2" customHeight="1">
      <c r="A64" s="51"/>
      <c r="B64" s="263" t="s">
        <v>210</v>
      </c>
      <c r="C64" s="264"/>
      <c r="D64" s="150" t="s">
        <v>517</v>
      </c>
      <c r="E64" s="228">
        <v>43.99</v>
      </c>
      <c r="F64" s="180">
        <v>8</v>
      </c>
      <c r="G64" s="153"/>
      <c r="H64" s="158">
        <f t="shared" si="1"/>
        <v>0</v>
      </c>
      <c r="I64" s="145"/>
      <c r="J64" s="178"/>
      <c r="K64" s="263" t="s">
        <v>655</v>
      </c>
      <c r="L64" s="264"/>
      <c r="M64" s="150" t="s">
        <v>656</v>
      </c>
      <c r="N64" s="151">
        <v>9.99</v>
      </c>
      <c r="O64" s="163">
        <v>16</v>
      </c>
      <c r="P64" s="153"/>
      <c r="Q64" s="158">
        <f t="shared" si="2"/>
        <v>0</v>
      </c>
      <c r="R64" s="56"/>
    </row>
    <row r="65" spans="1:18" ht="16.2" customHeight="1">
      <c r="B65" s="263" t="s">
        <v>399</v>
      </c>
      <c r="C65" s="264"/>
      <c r="D65" s="150" t="s">
        <v>516</v>
      </c>
      <c r="E65" s="228">
        <v>43.99</v>
      </c>
      <c r="F65" s="174">
        <v>8</v>
      </c>
      <c r="G65" s="153"/>
      <c r="H65" s="158">
        <f t="shared" si="1"/>
        <v>0</v>
      </c>
      <c r="I65" s="207"/>
      <c r="J65" s="207"/>
      <c r="K65" s="263" t="s">
        <v>405</v>
      </c>
      <c r="L65" s="264"/>
      <c r="M65" s="150" t="s">
        <v>562</v>
      </c>
      <c r="N65" s="151">
        <v>13.99</v>
      </c>
      <c r="O65" s="163">
        <v>12</v>
      </c>
      <c r="P65" s="153"/>
      <c r="Q65" s="158">
        <f t="shared" si="2"/>
        <v>0</v>
      </c>
      <c r="R65" s="57"/>
    </row>
    <row r="66" spans="1:18" ht="16.2" customHeight="1">
      <c r="B66" s="270" t="s">
        <v>642</v>
      </c>
      <c r="C66" s="270"/>
      <c r="D66" s="220" t="s">
        <v>511</v>
      </c>
      <c r="E66" s="228">
        <v>43.99</v>
      </c>
      <c r="F66" s="242">
        <v>8</v>
      </c>
      <c r="G66" s="153"/>
      <c r="H66" s="158">
        <f t="shared" si="1"/>
        <v>0</v>
      </c>
      <c r="I66" s="210"/>
      <c r="J66" s="211"/>
      <c r="K66" s="225" t="s">
        <v>36</v>
      </c>
      <c r="L66" s="225"/>
      <c r="M66" s="150" t="s">
        <v>563</v>
      </c>
      <c r="N66" s="151">
        <v>13.99</v>
      </c>
      <c r="O66" s="163">
        <v>10</v>
      </c>
      <c r="P66" s="153"/>
      <c r="Q66" s="158">
        <f t="shared" si="2"/>
        <v>0</v>
      </c>
    </row>
    <row r="67" spans="1:18" ht="16.2" customHeight="1">
      <c r="B67" s="263" t="s">
        <v>400</v>
      </c>
      <c r="C67" s="264"/>
      <c r="D67" s="150" t="s">
        <v>518</v>
      </c>
      <c r="E67" s="228">
        <v>43.99</v>
      </c>
      <c r="F67" s="180">
        <v>8</v>
      </c>
      <c r="G67" s="153"/>
      <c r="H67" s="158">
        <f t="shared" si="1"/>
        <v>0</v>
      </c>
      <c r="I67" s="210"/>
      <c r="J67" s="211"/>
      <c r="K67" s="270" t="s">
        <v>406</v>
      </c>
      <c r="L67" s="270"/>
      <c r="M67" s="150" t="s">
        <v>564</v>
      </c>
      <c r="N67" s="151">
        <v>15.99</v>
      </c>
      <c r="O67" s="163">
        <v>12</v>
      </c>
      <c r="P67" s="153"/>
      <c r="Q67" s="158">
        <f t="shared" si="2"/>
        <v>0</v>
      </c>
    </row>
    <row r="68" spans="1:18" ht="16.2" customHeight="1">
      <c r="B68" s="263" t="s">
        <v>643</v>
      </c>
      <c r="C68" s="264"/>
      <c r="D68" s="150" t="s">
        <v>519</v>
      </c>
      <c r="E68" s="228">
        <v>43.99</v>
      </c>
      <c r="F68" s="180">
        <v>6</v>
      </c>
      <c r="G68" s="153"/>
      <c r="H68" s="158">
        <f t="shared" si="1"/>
        <v>0</v>
      </c>
      <c r="I68" s="210"/>
      <c r="J68" s="211"/>
      <c r="K68" s="265" t="s">
        <v>657</v>
      </c>
      <c r="L68" s="265"/>
      <c r="M68" s="220" t="s">
        <v>658</v>
      </c>
      <c r="N68" s="154">
        <v>16.989999999999998</v>
      </c>
      <c r="O68" s="163">
        <v>12</v>
      </c>
      <c r="P68" s="245"/>
      <c r="Q68" s="158">
        <f t="shared" si="2"/>
        <v>0</v>
      </c>
    </row>
    <row r="69" spans="1:18" ht="16.2" customHeight="1">
      <c r="B69" s="263" t="s">
        <v>649</v>
      </c>
      <c r="C69" s="264"/>
      <c r="D69" s="150" t="s">
        <v>650</v>
      </c>
      <c r="E69" s="228">
        <v>48.99</v>
      </c>
      <c r="F69" s="180">
        <v>6</v>
      </c>
      <c r="G69" s="153"/>
      <c r="H69" s="158">
        <f t="shared" si="1"/>
        <v>0</v>
      </c>
      <c r="I69" s="210"/>
      <c r="J69" s="211"/>
      <c r="K69" s="270" t="s">
        <v>407</v>
      </c>
      <c r="L69" s="270"/>
      <c r="M69" s="150" t="s">
        <v>565</v>
      </c>
      <c r="N69" s="151">
        <v>19.989999999999998</v>
      </c>
      <c r="O69" s="163">
        <v>12</v>
      </c>
      <c r="P69" s="153"/>
      <c r="Q69" s="158">
        <f t="shared" si="2"/>
        <v>0</v>
      </c>
    </row>
    <row r="70" spans="1:18" ht="16.2" customHeight="1">
      <c r="B70" s="266" t="s">
        <v>62</v>
      </c>
      <c r="C70" s="267"/>
      <c r="D70" s="150" t="s">
        <v>520</v>
      </c>
      <c r="E70" s="228">
        <v>49.99</v>
      </c>
      <c r="F70" s="180">
        <v>12</v>
      </c>
      <c r="G70" s="153"/>
      <c r="H70" s="158">
        <f t="shared" si="1"/>
        <v>0</v>
      </c>
      <c r="I70" s="210"/>
      <c r="J70" s="211"/>
      <c r="K70" s="75"/>
      <c r="L70" s="178"/>
      <c r="M70" s="178"/>
      <c r="N70" s="185"/>
      <c r="O70" s="178"/>
      <c r="P70" s="178"/>
      <c r="Q70" s="178"/>
    </row>
    <row r="71" spans="1:18" ht="16.8" customHeight="1">
      <c r="A71" s="60"/>
      <c r="B71" s="268" t="s">
        <v>651</v>
      </c>
      <c r="C71" s="268"/>
      <c r="D71" s="150" t="s">
        <v>652</v>
      </c>
      <c r="E71" s="229">
        <v>52.99</v>
      </c>
      <c r="F71" s="150">
        <v>6</v>
      </c>
      <c r="G71" s="245"/>
      <c r="H71" s="158">
        <f t="shared" si="1"/>
        <v>0</v>
      </c>
      <c r="I71" s="213"/>
      <c r="J71" s="214"/>
      <c r="K71" s="75"/>
      <c r="L71" s="75"/>
      <c r="M71" s="205"/>
      <c r="N71" s="206"/>
      <c r="O71" s="205"/>
      <c r="P71" s="205"/>
      <c r="Q71" s="205"/>
      <c r="R71" s="71"/>
    </row>
    <row r="72" spans="1:18" s="8" customFormat="1" ht="16.2" customHeight="1">
      <c r="A72" s="51"/>
      <c r="B72" s="269" t="s">
        <v>653</v>
      </c>
      <c r="C72" s="269"/>
      <c r="D72" s="150" t="s">
        <v>654</v>
      </c>
      <c r="E72" s="154">
        <v>52.99</v>
      </c>
      <c r="F72" s="150">
        <v>4</v>
      </c>
      <c r="G72" s="153"/>
      <c r="H72" s="158">
        <f t="shared" si="1"/>
        <v>0</v>
      </c>
      <c r="I72" s="132"/>
      <c r="J72" s="222"/>
      <c r="K72" s="75"/>
      <c r="L72" s="75"/>
      <c r="M72" s="75"/>
      <c r="N72" s="260"/>
      <c r="O72" s="261"/>
      <c r="P72" s="262" t="s">
        <v>359</v>
      </c>
      <c r="R72" s="58"/>
    </row>
    <row r="73" spans="1:18" s="8" customFormat="1" ht="16.2" customHeight="1">
      <c r="A73" s="51"/>
      <c r="B73" s="268" t="s">
        <v>161</v>
      </c>
      <c r="C73" s="268"/>
      <c r="D73" s="150" t="s">
        <v>521</v>
      </c>
      <c r="E73" s="228">
        <v>54.99</v>
      </c>
      <c r="F73" s="150">
        <v>8</v>
      </c>
      <c r="G73" s="153"/>
      <c r="H73" s="158">
        <f t="shared" si="1"/>
        <v>0</v>
      </c>
      <c r="I73" s="132"/>
      <c r="J73" s="222"/>
      <c r="K73" s="75"/>
      <c r="L73" s="75"/>
      <c r="M73" s="75"/>
      <c r="N73" s="208"/>
      <c r="O73" s="75"/>
      <c r="P73" s="209"/>
      <c r="Q73" s="178"/>
      <c r="R73" s="58"/>
    </row>
    <row r="74" spans="1:18" s="8" customFormat="1" ht="16.2" customHeight="1">
      <c r="A74" s="51"/>
      <c r="I74" s="132"/>
      <c r="J74" s="222"/>
      <c r="K74" s="22"/>
      <c r="L74" s="22"/>
      <c r="M74" s="22"/>
      <c r="N74" s="78"/>
      <c r="O74" s="22"/>
      <c r="P74" s="22"/>
      <c r="Q74" s="22"/>
      <c r="R74" s="58"/>
    </row>
    <row r="75" spans="1:18" s="8" customFormat="1" ht="18" customHeight="1">
      <c r="B75" s="75"/>
      <c r="C75" s="75"/>
      <c r="D75" s="182"/>
      <c r="E75" s="230"/>
      <c r="F75" s="181"/>
      <c r="G75" s="184"/>
      <c r="H75" s="145"/>
      <c r="I75" s="132"/>
      <c r="J75" s="153" t="s">
        <v>367</v>
      </c>
      <c r="K75" s="22"/>
      <c r="L75" s="22"/>
      <c r="M75" s="22"/>
      <c r="N75" s="78"/>
      <c r="O75" s="22"/>
      <c r="P75" s="22"/>
      <c r="Q75" s="22"/>
      <c r="R75" s="56"/>
    </row>
    <row r="76" spans="1:18" s="8" customFormat="1" ht="23.4" customHeight="1">
      <c r="B76" s="308"/>
      <c r="C76" s="308"/>
      <c r="D76" s="308"/>
      <c r="E76" s="246"/>
      <c r="F76" s="27" t="s">
        <v>361</v>
      </c>
      <c r="G76" s="27"/>
      <c r="H76" s="27"/>
      <c r="I76" s="247"/>
      <c r="J76" s="250"/>
      <c r="K76" s="27"/>
      <c r="L76" s="27"/>
      <c r="M76" s="27"/>
      <c r="N76" s="248"/>
      <c r="O76" s="28"/>
      <c r="P76" s="22"/>
      <c r="Q76" s="22"/>
      <c r="R76" s="56"/>
    </row>
    <row r="77" spans="1:18" s="8" customFormat="1" ht="23.4" customHeight="1">
      <c r="B77" s="308"/>
      <c r="C77" s="308"/>
      <c r="D77" s="308"/>
      <c r="E77" s="246"/>
      <c r="F77" s="53" t="s">
        <v>362</v>
      </c>
      <c r="G77" s="53"/>
      <c r="H77" s="53"/>
      <c r="I77" s="247"/>
      <c r="J77" s="250"/>
      <c r="K77" s="27"/>
      <c r="L77" s="27"/>
      <c r="M77" s="27"/>
      <c r="N77" s="248"/>
      <c r="O77" s="28"/>
      <c r="P77" s="22"/>
      <c r="Q77" s="22"/>
      <c r="R77" s="56"/>
    </row>
    <row r="78" spans="1:18" s="8" customFormat="1" ht="23.4" customHeight="1">
      <c r="B78" s="308"/>
      <c r="C78" s="308"/>
      <c r="D78" s="308"/>
      <c r="E78" s="246"/>
      <c r="F78" s="53" t="s">
        <v>363</v>
      </c>
      <c r="G78" s="53"/>
      <c r="H78" s="53"/>
      <c r="I78" s="247"/>
      <c r="J78" s="250"/>
      <c r="K78" s="27"/>
      <c r="L78" s="27"/>
      <c r="M78" s="27"/>
      <c r="N78" s="248"/>
      <c r="O78" s="28"/>
      <c r="P78" s="22"/>
      <c r="Q78" s="22"/>
      <c r="R78" s="56"/>
    </row>
    <row r="79" spans="1:18" s="8" customFormat="1" ht="23.4" customHeight="1">
      <c r="B79" s="308"/>
      <c r="C79" s="308"/>
      <c r="D79" s="308"/>
      <c r="E79" s="246"/>
      <c r="F79" s="53" t="s">
        <v>393</v>
      </c>
      <c r="G79" s="53"/>
      <c r="H79" s="53"/>
      <c r="I79" s="247"/>
      <c r="J79" s="250"/>
      <c r="K79" s="27"/>
      <c r="L79" s="27"/>
      <c r="M79" s="27"/>
      <c r="N79" s="248"/>
      <c r="O79" s="28"/>
      <c r="P79" s="22"/>
      <c r="Q79" s="22"/>
      <c r="R79" s="56"/>
    </row>
    <row r="80" spans="1:18" s="8" customFormat="1" ht="18" customHeight="1">
      <c r="B80" s="308"/>
      <c r="C80" s="308"/>
      <c r="D80" s="308"/>
      <c r="E80" s="231"/>
      <c r="F80" s="213"/>
      <c r="G80" s="213"/>
      <c r="H80" s="213"/>
      <c r="I80" s="215"/>
      <c r="J80" s="153" t="s">
        <v>368</v>
      </c>
      <c r="K80" s="178"/>
      <c r="L80" s="178"/>
      <c r="M80" s="178"/>
      <c r="N80" s="178"/>
      <c r="O80" s="178"/>
      <c r="P80" s="178"/>
      <c r="Q80" s="178"/>
      <c r="R80" s="56"/>
    </row>
    <row r="81" spans="2:18" s="8" customFormat="1" ht="30" customHeight="1">
      <c r="B81" s="309" t="s">
        <v>669</v>
      </c>
      <c r="C81" s="310"/>
      <c r="D81" s="310"/>
      <c r="E81" s="310"/>
      <c r="F81" s="310"/>
      <c r="G81" s="310"/>
      <c r="H81" s="310"/>
      <c r="I81" s="310"/>
      <c r="J81" s="310"/>
      <c r="K81" s="310"/>
      <c r="L81" s="310"/>
      <c r="M81" s="310"/>
      <c r="N81" s="310"/>
      <c r="O81" s="310"/>
      <c r="P81" s="310"/>
      <c r="Q81" s="310"/>
      <c r="R81" s="56"/>
    </row>
    <row r="82" spans="2:18" s="257" customFormat="1" ht="18" customHeight="1">
      <c r="B82" s="302" t="s">
        <v>252</v>
      </c>
      <c r="C82" s="303"/>
      <c r="D82" s="301"/>
      <c r="E82" s="301"/>
      <c r="F82" s="301"/>
      <c r="G82" s="301"/>
      <c r="H82" s="251"/>
      <c r="I82" s="251"/>
      <c r="J82" s="252" t="s">
        <v>369</v>
      </c>
      <c r="K82" s="253"/>
      <c r="L82" s="253"/>
      <c r="M82" s="253"/>
      <c r="N82" s="254"/>
      <c r="O82" s="253"/>
      <c r="P82" s="253"/>
      <c r="Q82" s="255"/>
      <c r="R82" s="256"/>
    </row>
    <row r="83" spans="2:18" s="8" customFormat="1" ht="18" customHeight="1">
      <c r="B83" s="160"/>
      <c r="C83" s="161"/>
      <c r="D83" s="216"/>
      <c r="E83" s="232"/>
      <c r="F83" s="216"/>
      <c r="G83" s="216"/>
      <c r="H83" s="217"/>
      <c r="I83" s="212"/>
      <c r="J83" s="153" t="s">
        <v>370</v>
      </c>
      <c r="K83" s="212"/>
      <c r="L83" s="212"/>
      <c r="M83" s="212"/>
      <c r="N83" s="218"/>
      <c r="O83" s="212"/>
      <c r="P83" s="212"/>
      <c r="Q83" s="219"/>
      <c r="R83" s="56"/>
    </row>
    <row r="84" spans="2:18" s="8" customFormat="1" ht="18" customHeight="1">
      <c r="B84" s="141" t="s">
        <v>26</v>
      </c>
      <c r="C84" s="141"/>
      <c r="D84" s="142" t="s">
        <v>365</v>
      </c>
      <c r="E84" s="233" t="s">
        <v>1</v>
      </c>
      <c r="F84" s="143" t="s">
        <v>2</v>
      </c>
      <c r="G84" s="143" t="s">
        <v>68</v>
      </c>
      <c r="H84" s="144" t="s">
        <v>195</v>
      </c>
      <c r="I84" s="145"/>
      <c r="J84" s="170"/>
      <c r="K84" s="285" t="s">
        <v>119</v>
      </c>
      <c r="L84" s="286"/>
      <c r="M84" s="142" t="s">
        <v>365</v>
      </c>
      <c r="N84" s="147" t="s">
        <v>1</v>
      </c>
      <c r="O84" s="143" t="s">
        <v>2</v>
      </c>
      <c r="P84" s="143" t="s">
        <v>68</v>
      </c>
      <c r="Q84" s="144" t="s">
        <v>195</v>
      </c>
      <c r="R84" s="56"/>
    </row>
    <row r="85" spans="2:18" s="8" customFormat="1" ht="16.2" customHeight="1">
      <c r="B85" s="266" t="s">
        <v>27</v>
      </c>
      <c r="C85" s="267"/>
      <c r="D85" s="150" t="s">
        <v>668</v>
      </c>
      <c r="E85" s="228">
        <v>1.25</v>
      </c>
      <c r="F85" s="152">
        <v>144</v>
      </c>
      <c r="G85" s="153"/>
      <c r="H85" s="158">
        <f t="shared" ref="H85:H116" si="5">(E85*G85)</f>
        <v>0</v>
      </c>
      <c r="I85" s="145"/>
      <c r="J85" s="153" t="s">
        <v>371</v>
      </c>
      <c r="K85" s="263" t="s">
        <v>474</v>
      </c>
      <c r="L85" s="264"/>
      <c r="M85" s="220" t="s">
        <v>411</v>
      </c>
      <c r="N85" s="171">
        <v>0.5</v>
      </c>
      <c r="O85" s="150">
        <v>50</v>
      </c>
      <c r="P85" s="249"/>
      <c r="Q85" s="158">
        <f t="shared" ref="Q85:Q118" si="6">(N85*P85)</f>
        <v>0</v>
      </c>
      <c r="R85" s="56"/>
    </row>
    <row r="86" spans="2:18" s="8" customFormat="1" ht="16.2" customHeight="1">
      <c r="B86" s="263" t="s">
        <v>181</v>
      </c>
      <c r="C86" s="264"/>
      <c r="D86" s="150" t="s">
        <v>566</v>
      </c>
      <c r="E86" s="228">
        <v>1.35</v>
      </c>
      <c r="F86" s="152">
        <v>144</v>
      </c>
      <c r="G86" s="153"/>
      <c r="H86" s="158">
        <f t="shared" si="5"/>
        <v>0</v>
      </c>
      <c r="I86" s="145"/>
      <c r="J86" s="153" t="s">
        <v>372</v>
      </c>
      <c r="K86" s="263" t="s">
        <v>215</v>
      </c>
      <c r="L86" s="275"/>
      <c r="M86" s="150" t="s">
        <v>595</v>
      </c>
      <c r="N86" s="156">
        <v>0.99</v>
      </c>
      <c r="O86" s="150">
        <v>768</v>
      </c>
      <c r="P86" s="157"/>
      <c r="Q86" s="158">
        <f t="shared" si="6"/>
        <v>0</v>
      </c>
      <c r="R86" s="56"/>
    </row>
    <row r="87" spans="2:18" ht="16.2" customHeight="1">
      <c r="B87" s="263" t="s">
        <v>28</v>
      </c>
      <c r="C87" s="264"/>
      <c r="D87" s="150" t="s">
        <v>567</v>
      </c>
      <c r="E87" s="228">
        <v>1.49</v>
      </c>
      <c r="F87" s="152">
        <v>144</v>
      </c>
      <c r="G87" s="153"/>
      <c r="H87" s="158">
        <f t="shared" si="5"/>
        <v>0</v>
      </c>
      <c r="I87" s="145"/>
      <c r="J87" s="153" t="s">
        <v>373</v>
      </c>
      <c r="K87" s="263" t="s">
        <v>121</v>
      </c>
      <c r="L87" s="275"/>
      <c r="M87" s="150" t="s">
        <v>596</v>
      </c>
      <c r="N87" s="156">
        <v>1.69</v>
      </c>
      <c r="O87" s="159" t="s">
        <v>37</v>
      </c>
      <c r="P87" s="153"/>
      <c r="Q87" s="158">
        <f t="shared" si="6"/>
        <v>0</v>
      </c>
      <c r="R87" s="56"/>
    </row>
    <row r="88" spans="2:18" ht="16.2" customHeight="1">
      <c r="B88" s="263" t="s">
        <v>29</v>
      </c>
      <c r="C88" s="264"/>
      <c r="D88" s="150" t="s">
        <v>568</v>
      </c>
      <c r="E88" s="228">
        <v>1.75</v>
      </c>
      <c r="F88" s="152">
        <v>144</v>
      </c>
      <c r="G88" s="153"/>
      <c r="H88" s="158">
        <f t="shared" si="5"/>
        <v>0</v>
      </c>
      <c r="I88" s="145"/>
      <c r="J88" s="153" t="s">
        <v>374</v>
      </c>
      <c r="K88" s="263" t="s">
        <v>231</v>
      </c>
      <c r="L88" s="275"/>
      <c r="M88" s="150" t="s">
        <v>597</v>
      </c>
      <c r="N88" s="156">
        <v>1.89</v>
      </c>
      <c r="O88" s="159" t="s">
        <v>213</v>
      </c>
      <c r="P88" s="153"/>
      <c r="Q88" s="158">
        <f t="shared" si="6"/>
        <v>0</v>
      </c>
      <c r="R88" s="56"/>
    </row>
    <row r="89" spans="2:18" ht="16.2" customHeight="1">
      <c r="B89" s="263" t="s">
        <v>160</v>
      </c>
      <c r="C89" s="264"/>
      <c r="D89" s="150" t="s">
        <v>569</v>
      </c>
      <c r="E89" s="228">
        <v>1.99</v>
      </c>
      <c r="F89" s="152">
        <v>144</v>
      </c>
      <c r="G89" s="153"/>
      <c r="H89" s="158">
        <f t="shared" si="5"/>
        <v>0</v>
      </c>
      <c r="I89" s="145"/>
      <c r="J89" s="153" t="s">
        <v>375</v>
      </c>
      <c r="K89" s="263" t="s">
        <v>402</v>
      </c>
      <c r="L89" s="264"/>
      <c r="M89" s="150" t="s">
        <v>598</v>
      </c>
      <c r="N89" s="156">
        <v>1.99</v>
      </c>
      <c r="O89" s="159" t="s">
        <v>202</v>
      </c>
      <c r="P89" s="153"/>
      <c r="Q89" s="158">
        <f t="shared" si="6"/>
        <v>0</v>
      </c>
      <c r="R89" s="56"/>
    </row>
    <row r="90" spans="2:18" ht="16.2" customHeight="1">
      <c r="B90" s="263" t="s">
        <v>240</v>
      </c>
      <c r="C90" s="264"/>
      <c r="D90" s="150" t="s">
        <v>570</v>
      </c>
      <c r="E90" s="228">
        <v>2.99</v>
      </c>
      <c r="F90" s="152">
        <v>144</v>
      </c>
      <c r="G90" s="153"/>
      <c r="H90" s="158">
        <f t="shared" si="5"/>
        <v>0</v>
      </c>
      <c r="I90" s="162"/>
      <c r="J90" s="153" t="s">
        <v>376</v>
      </c>
      <c r="K90" s="91" t="s">
        <v>131</v>
      </c>
      <c r="L90" s="105"/>
      <c r="M90" s="150" t="s">
        <v>599</v>
      </c>
      <c r="N90" s="156">
        <v>2.4900000000000002</v>
      </c>
      <c r="O90" s="159" t="s">
        <v>360</v>
      </c>
      <c r="P90" s="153"/>
      <c r="Q90" s="158">
        <f t="shared" si="6"/>
        <v>0</v>
      </c>
      <c r="R90" s="56"/>
    </row>
    <row r="91" spans="2:18" ht="16.2" customHeight="1">
      <c r="B91" s="270" t="s">
        <v>473</v>
      </c>
      <c r="C91" s="270"/>
      <c r="D91" s="150" t="s">
        <v>571</v>
      </c>
      <c r="E91" s="228">
        <v>6</v>
      </c>
      <c r="F91" s="163">
        <v>36</v>
      </c>
      <c r="G91" s="153"/>
      <c r="H91" s="158">
        <f t="shared" si="5"/>
        <v>0</v>
      </c>
      <c r="I91" s="145"/>
      <c r="J91" s="153" t="s">
        <v>377</v>
      </c>
      <c r="K91" s="139" t="s">
        <v>214</v>
      </c>
      <c r="L91" s="155"/>
      <c r="M91" s="150" t="s">
        <v>600</v>
      </c>
      <c r="N91" s="156">
        <v>2.99</v>
      </c>
      <c r="O91" s="150">
        <v>120</v>
      </c>
      <c r="P91" s="153"/>
      <c r="Q91" s="158">
        <f t="shared" si="6"/>
        <v>0</v>
      </c>
      <c r="R91" s="56"/>
    </row>
    <row r="92" spans="2:18" ht="16.2" customHeight="1">
      <c r="B92" s="280" t="s">
        <v>38</v>
      </c>
      <c r="C92" s="281"/>
      <c r="D92" s="166"/>
      <c r="E92" s="234" t="s">
        <v>1</v>
      </c>
      <c r="F92" s="168" t="s">
        <v>2</v>
      </c>
      <c r="G92" s="168" t="s">
        <v>68</v>
      </c>
      <c r="H92" s="169" t="s">
        <v>195</v>
      </c>
      <c r="I92" s="145"/>
      <c r="J92" s="153" t="s">
        <v>378</v>
      </c>
      <c r="K92" s="139" t="s">
        <v>201</v>
      </c>
      <c r="L92" s="155"/>
      <c r="M92" s="150" t="s">
        <v>601</v>
      </c>
      <c r="N92" s="156">
        <v>2.99</v>
      </c>
      <c r="O92" s="150">
        <v>192</v>
      </c>
      <c r="P92" s="153"/>
      <c r="Q92" s="158">
        <f t="shared" si="6"/>
        <v>0</v>
      </c>
      <c r="R92" s="56"/>
    </row>
    <row r="93" spans="2:18" ht="16.2" customHeight="1">
      <c r="B93" s="263" t="s">
        <v>39</v>
      </c>
      <c r="C93" s="264"/>
      <c r="D93" s="150" t="s">
        <v>576</v>
      </c>
      <c r="E93" s="228">
        <v>4.99</v>
      </c>
      <c r="F93" s="152">
        <v>72</v>
      </c>
      <c r="G93" s="153"/>
      <c r="H93" s="158">
        <f t="shared" si="5"/>
        <v>0</v>
      </c>
      <c r="I93" s="145"/>
      <c r="J93" s="153" t="s">
        <v>379</v>
      </c>
      <c r="K93" s="263" t="s">
        <v>661</v>
      </c>
      <c r="L93" s="264"/>
      <c r="M93" s="150" t="s">
        <v>603</v>
      </c>
      <c r="N93" s="151">
        <v>3.99</v>
      </c>
      <c r="O93" s="150">
        <v>30</v>
      </c>
      <c r="P93" s="153"/>
      <c r="Q93" s="158">
        <f t="shared" si="6"/>
        <v>0</v>
      </c>
    </row>
    <row r="94" spans="2:18" ht="16.2" customHeight="1">
      <c r="B94" s="263" t="s">
        <v>40</v>
      </c>
      <c r="C94" s="264"/>
      <c r="D94" s="150" t="s">
        <v>577</v>
      </c>
      <c r="E94" s="228">
        <v>4.99</v>
      </c>
      <c r="F94" s="152">
        <v>72</v>
      </c>
      <c r="G94" s="153"/>
      <c r="H94" s="158">
        <f t="shared" si="5"/>
        <v>0</v>
      </c>
      <c r="I94" s="145"/>
      <c r="J94" s="153" t="s">
        <v>380</v>
      </c>
      <c r="K94" s="139" t="s">
        <v>232</v>
      </c>
      <c r="L94" s="155"/>
      <c r="M94" s="150" t="s">
        <v>602</v>
      </c>
      <c r="N94" s="156">
        <v>4.99</v>
      </c>
      <c r="O94" s="150">
        <v>20</v>
      </c>
      <c r="P94" s="153"/>
      <c r="Q94" s="158">
        <f t="shared" si="6"/>
        <v>0</v>
      </c>
    </row>
    <row r="95" spans="2:18" ht="16.2" customHeight="1">
      <c r="B95" s="263" t="s">
        <v>41</v>
      </c>
      <c r="C95" s="264"/>
      <c r="D95" s="150" t="s">
        <v>578</v>
      </c>
      <c r="E95" s="228">
        <v>4.99</v>
      </c>
      <c r="F95" s="152">
        <v>72</v>
      </c>
      <c r="G95" s="153"/>
      <c r="H95" s="158">
        <f t="shared" si="5"/>
        <v>0</v>
      </c>
      <c r="I95" s="145"/>
      <c r="J95" s="153" t="s">
        <v>381</v>
      </c>
      <c r="K95" s="280" t="s">
        <v>127</v>
      </c>
      <c r="L95" s="281"/>
      <c r="M95" s="172" t="s">
        <v>365</v>
      </c>
      <c r="N95" s="167" t="s">
        <v>1</v>
      </c>
      <c r="O95" s="168" t="s">
        <v>128</v>
      </c>
      <c r="P95" s="168" t="s">
        <v>68</v>
      </c>
      <c r="Q95" s="169" t="s">
        <v>195</v>
      </c>
    </row>
    <row r="96" spans="2:18" ht="16.2" customHeight="1">
      <c r="B96" s="263" t="s">
        <v>44</v>
      </c>
      <c r="C96" s="264"/>
      <c r="D96" s="150" t="s">
        <v>575</v>
      </c>
      <c r="E96" s="228">
        <v>4.99</v>
      </c>
      <c r="F96" s="152">
        <v>72</v>
      </c>
      <c r="G96" s="153"/>
      <c r="H96" s="158">
        <f t="shared" si="5"/>
        <v>0</v>
      </c>
      <c r="I96" s="145"/>
      <c r="J96" s="153" t="s">
        <v>384</v>
      </c>
      <c r="K96" s="263" t="s">
        <v>164</v>
      </c>
      <c r="L96" s="275"/>
      <c r="M96" s="150" t="s">
        <v>604</v>
      </c>
      <c r="N96" s="173">
        <v>24.99</v>
      </c>
      <c r="O96" s="150">
        <v>9</v>
      </c>
      <c r="P96" s="153"/>
      <c r="Q96" s="158">
        <f t="shared" si="6"/>
        <v>0</v>
      </c>
    </row>
    <row r="97" spans="1:18" ht="16.2" customHeight="1">
      <c r="B97" s="266" t="s">
        <v>111</v>
      </c>
      <c r="C97" s="267"/>
      <c r="D97" s="150" t="s">
        <v>579</v>
      </c>
      <c r="E97" s="228">
        <v>4.99</v>
      </c>
      <c r="F97" s="174">
        <v>72</v>
      </c>
      <c r="G97" s="153"/>
      <c r="H97" s="158">
        <f t="shared" si="5"/>
        <v>0</v>
      </c>
      <c r="I97" s="145"/>
      <c r="J97" s="153" t="s">
        <v>382</v>
      </c>
      <c r="K97" s="266" t="s">
        <v>165</v>
      </c>
      <c r="L97" s="274"/>
      <c r="M97" s="150" t="s">
        <v>605</v>
      </c>
      <c r="N97" s="173">
        <v>34.99</v>
      </c>
      <c r="O97" s="150">
        <v>6</v>
      </c>
      <c r="P97" s="153"/>
      <c r="Q97" s="158">
        <f t="shared" si="6"/>
        <v>0</v>
      </c>
    </row>
    <row r="98" spans="1:18" ht="16.2" customHeight="1">
      <c r="B98" s="263" t="s">
        <v>43</v>
      </c>
      <c r="C98" s="264"/>
      <c r="D98" s="150" t="s">
        <v>574</v>
      </c>
      <c r="E98" s="228">
        <v>4.99</v>
      </c>
      <c r="F98" s="152">
        <v>72</v>
      </c>
      <c r="G98" s="153"/>
      <c r="H98" s="158">
        <f t="shared" si="5"/>
        <v>0</v>
      </c>
      <c r="I98" s="145"/>
      <c r="J98" s="153" t="s">
        <v>383</v>
      </c>
      <c r="K98" s="266" t="s">
        <v>166</v>
      </c>
      <c r="L98" s="274"/>
      <c r="M98" s="150" t="s">
        <v>606</v>
      </c>
      <c r="N98" s="173">
        <v>44.99</v>
      </c>
      <c r="O98" s="150">
        <v>4</v>
      </c>
      <c r="P98" s="153"/>
      <c r="Q98" s="158">
        <f t="shared" si="6"/>
        <v>0</v>
      </c>
    </row>
    <row r="99" spans="1:18" s="18" customFormat="1" ht="16.2" customHeight="1">
      <c r="A99" s="21"/>
      <c r="B99" s="266" t="s">
        <v>251</v>
      </c>
      <c r="C99" s="267"/>
      <c r="D99" s="150" t="s">
        <v>580</v>
      </c>
      <c r="E99" s="228">
        <v>4.99</v>
      </c>
      <c r="F99" s="174">
        <v>72</v>
      </c>
      <c r="G99" s="153"/>
      <c r="H99" s="158">
        <f t="shared" si="5"/>
        <v>0</v>
      </c>
      <c r="I99" s="145"/>
      <c r="J99" s="170"/>
      <c r="K99" s="266" t="s">
        <v>662</v>
      </c>
      <c r="L99" s="267"/>
      <c r="M99" s="150" t="s">
        <v>663</v>
      </c>
      <c r="N99" s="173">
        <v>49.99</v>
      </c>
      <c r="O99" s="150">
        <v>4</v>
      </c>
      <c r="P99" s="153"/>
      <c r="Q99" s="158">
        <f t="shared" si="6"/>
        <v>0</v>
      </c>
      <c r="R99" s="57"/>
    </row>
    <row r="100" spans="1:18" s="18" customFormat="1" ht="16.2" customHeight="1">
      <c r="A100" s="21"/>
      <c r="B100" s="263" t="s">
        <v>659</v>
      </c>
      <c r="C100" s="264"/>
      <c r="D100" s="150" t="s">
        <v>572</v>
      </c>
      <c r="E100" s="235">
        <v>4.99</v>
      </c>
      <c r="F100" s="152">
        <v>72</v>
      </c>
      <c r="G100" s="153"/>
      <c r="H100" s="158">
        <f t="shared" si="5"/>
        <v>0</v>
      </c>
      <c r="I100" s="145"/>
      <c r="J100" s="153" t="s">
        <v>385</v>
      </c>
      <c r="K100" s="263" t="s">
        <v>149</v>
      </c>
      <c r="L100" s="275"/>
      <c r="M100" s="150" t="s">
        <v>607</v>
      </c>
      <c r="N100" s="173">
        <v>54.99</v>
      </c>
      <c r="O100" s="150">
        <v>4</v>
      </c>
      <c r="P100" s="153"/>
      <c r="Q100" s="158">
        <f t="shared" si="6"/>
        <v>0</v>
      </c>
      <c r="R100" s="57"/>
    </row>
    <row r="101" spans="1:18" s="18" customFormat="1" ht="16.2" customHeight="1">
      <c r="A101" s="21"/>
      <c r="B101" s="139" t="s">
        <v>660</v>
      </c>
      <c r="C101" s="140"/>
      <c r="D101" s="150" t="s">
        <v>573</v>
      </c>
      <c r="E101" s="235">
        <v>4.99</v>
      </c>
      <c r="F101" s="152">
        <v>72</v>
      </c>
      <c r="G101" s="153"/>
      <c r="H101" s="158">
        <f t="shared" si="5"/>
        <v>0</v>
      </c>
      <c r="I101" s="145"/>
      <c r="J101" s="153" t="s">
        <v>386</v>
      </c>
      <c r="K101" s="266" t="s">
        <v>189</v>
      </c>
      <c r="L101" s="274"/>
      <c r="M101" s="150" t="s">
        <v>608</v>
      </c>
      <c r="N101" s="173">
        <v>69.989999999999995</v>
      </c>
      <c r="O101" s="150">
        <v>3</v>
      </c>
      <c r="P101" s="153"/>
      <c r="Q101" s="158">
        <f t="shared" si="6"/>
        <v>0</v>
      </c>
      <c r="R101" s="57"/>
    </row>
    <row r="102" spans="1:18" s="18" customFormat="1" ht="16.2" customHeight="1">
      <c r="A102" s="21"/>
      <c r="B102" s="263" t="s">
        <v>45</v>
      </c>
      <c r="C102" s="264"/>
      <c r="D102" s="150" t="s">
        <v>581</v>
      </c>
      <c r="E102" s="228">
        <v>5.99</v>
      </c>
      <c r="F102" s="152">
        <v>48</v>
      </c>
      <c r="G102" s="153"/>
      <c r="H102" s="158">
        <f t="shared" si="5"/>
        <v>0</v>
      </c>
      <c r="I102" s="145"/>
      <c r="J102" s="153" t="s">
        <v>387</v>
      </c>
      <c r="K102" s="266" t="s">
        <v>190</v>
      </c>
      <c r="L102" s="274"/>
      <c r="M102" s="150" t="s">
        <v>609</v>
      </c>
      <c r="N102" s="173">
        <v>79.989999999999995</v>
      </c>
      <c r="O102" s="150">
        <v>3</v>
      </c>
      <c r="P102" s="153"/>
      <c r="Q102" s="158">
        <f t="shared" si="6"/>
        <v>0</v>
      </c>
      <c r="R102" s="57"/>
    </row>
    <row r="103" spans="1:18" s="18" customFormat="1" ht="16.2" customHeight="1">
      <c r="A103" s="21"/>
      <c r="B103" s="263" t="s">
        <v>46</v>
      </c>
      <c r="C103" s="264"/>
      <c r="D103" s="150" t="s">
        <v>583</v>
      </c>
      <c r="E103" s="228">
        <v>8.99</v>
      </c>
      <c r="F103" s="152">
        <v>36</v>
      </c>
      <c r="G103" s="153"/>
      <c r="H103" s="158">
        <f t="shared" si="5"/>
        <v>0</v>
      </c>
      <c r="I103" s="145"/>
      <c r="J103" s="153" t="s">
        <v>388</v>
      </c>
      <c r="K103" s="266" t="s">
        <v>146</v>
      </c>
      <c r="L103" s="274"/>
      <c r="M103" s="150" t="s">
        <v>610</v>
      </c>
      <c r="N103" s="173">
        <v>89.99</v>
      </c>
      <c r="O103" s="150">
        <v>4</v>
      </c>
      <c r="P103" s="153"/>
      <c r="Q103" s="158">
        <f t="shared" si="6"/>
        <v>0</v>
      </c>
      <c r="R103" s="57"/>
    </row>
    <row r="104" spans="1:18" s="18" customFormat="1" ht="16.2" customHeight="1">
      <c r="A104" s="21"/>
      <c r="B104" s="263" t="s">
        <v>47</v>
      </c>
      <c r="C104" s="264"/>
      <c r="D104" s="150" t="s">
        <v>582</v>
      </c>
      <c r="E104" s="228">
        <v>8.99</v>
      </c>
      <c r="F104" s="152">
        <v>36</v>
      </c>
      <c r="G104" s="153"/>
      <c r="H104" s="158">
        <f t="shared" si="5"/>
        <v>0</v>
      </c>
      <c r="I104" s="145"/>
      <c r="J104" s="153" t="s">
        <v>389</v>
      </c>
      <c r="K104" s="266" t="s">
        <v>150</v>
      </c>
      <c r="L104" s="274"/>
      <c r="M104" s="150" t="s">
        <v>611</v>
      </c>
      <c r="N104" s="173">
        <v>109.99</v>
      </c>
      <c r="O104" s="150">
        <v>2</v>
      </c>
      <c r="P104" s="153"/>
      <c r="Q104" s="158">
        <f t="shared" si="6"/>
        <v>0</v>
      </c>
      <c r="R104" s="57"/>
    </row>
    <row r="105" spans="1:18" s="18" customFormat="1" ht="16.2" customHeight="1">
      <c r="A105" s="21"/>
      <c r="B105" s="263" t="s">
        <v>48</v>
      </c>
      <c r="C105" s="264"/>
      <c r="D105" s="150" t="s">
        <v>585</v>
      </c>
      <c r="E105" s="228">
        <v>8.99</v>
      </c>
      <c r="F105" s="152">
        <v>36</v>
      </c>
      <c r="G105" s="153"/>
      <c r="H105" s="158">
        <f t="shared" si="5"/>
        <v>0</v>
      </c>
      <c r="I105" s="145"/>
      <c r="J105" s="178"/>
      <c r="K105" s="266" t="s">
        <v>187</v>
      </c>
      <c r="L105" s="274"/>
      <c r="M105" s="150" t="s">
        <v>612</v>
      </c>
      <c r="N105" s="173">
        <v>109.99</v>
      </c>
      <c r="O105" s="150">
        <v>3</v>
      </c>
      <c r="P105" s="153"/>
      <c r="Q105" s="158">
        <f t="shared" si="6"/>
        <v>0</v>
      </c>
      <c r="R105" s="57"/>
    </row>
    <row r="106" spans="1:18" s="18" customFormat="1" ht="16.2" customHeight="1">
      <c r="A106" s="21"/>
      <c r="B106" s="263" t="s">
        <v>159</v>
      </c>
      <c r="C106" s="264"/>
      <c r="D106" s="150" t="s">
        <v>584</v>
      </c>
      <c r="E106" s="228">
        <v>8.99</v>
      </c>
      <c r="F106" s="152">
        <v>36</v>
      </c>
      <c r="G106" s="153"/>
      <c r="H106" s="158">
        <f t="shared" si="5"/>
        <v>0</v>
      </c>
      <c r="I106" s="145"/>
      <c r="J106" s="178"/>
      <c r="K106" s="266" t="s">
        <v>151</v>
      </c>
      <c r="L106" s="274"/>
      <c r="M106" s="150" t="s">
        <v>613</v>
      </c>
      <c r="N106" s="173">
        <v>164.99</v>
      </c>
      <c r="O106" s="150">
        <v>2</v>
      </c>
      <c r="P106" s="153"/>
      <c r="Q106" s="158">
        <f t="shared" si="6"/>
        <v>0</v>
      </c>
      <c r="R106" s="57"/>
    </row>
    <row r="107" spans="1:18" s="18" customFormat="1" ht="16.2" customHeight="1">
      <c r="A107" s="21"/>
      <c r="B107" s="266" t="s">
        <v>49</v>
      </c>
      <c r="C107" s="267"/>
      <c r="D107" s="150" t="s">
        <v>586</v>
      </c>
      <c r="E107" s="228">
        <v>9.99</v>
      </c>
      <c r="F107" s="152">
        <v>36</v>
      </c>
      <c r="G107" s="153"/>
      <c r="H107" s="158">
        <f t="shared" si="5"/>
        <v>0</v>
      </c>
      <c r="I107" s="145"/>
      <c r="J107" s="178"/>
      <c r="K107" s="266" t="s">
        <v>188</v>
      </c>
      <c r="L107" s="274"/>
      <c r="M107" s="150" t="s">
        <v>614</v>
      </c>
      <c r="N107" s="173">
        <v>164.99</v>
      </c>
      <c r="O107" s="150">
        <v>2</v>
      </c>
      <c r="P107" s="153"/>
      <c r="Q107" s="158">
        <f t="shared" si="6"/>
        <v>0</v>
      </c>
      <c r="R107" s="57"/>
    </row>
    <row r="108" spans="1:18" s="18" customFormat="1" ht="16.2" customHeight="1">
      <c r="A108" s="21"/>
      <c r="B108" s="266" t="s">
        <v>50</v>
      </c>
      <c r="C108" s="267"/>
      <c r="D108" s="150" t="s">
        <v>588</v>
      </c>
      <c r="E108" s="228">
        <v>9.99</v>
      </c>
      <c r="F108" s="152">
        <v>36</v>
      </c>
      <c r="G108" s="153"/>
      <c r="H108" s="158">
        <f t="shared" si="5"/>
        <v>0</v>
      </c>
      <c r="I108" s="145"/>
      <c r="J108" s="178"/>
      <c r="K108" s="266" t="s">
        <v>401</v>
      </c>
      <c r="L108" s="267"/>
      <c r="M108" s="150" t="s">
        <v>615</v>
      </c>
      <c r="N108" s="173">
        <v>229.99</v>
      </c>
      <c r="O108" s="150">
        <v>1</v>
      </c>
      <c r="P108" s="153"/>
      <c r="Q108" s="158">
        <f t="shared" si="6"/>
        <v>0</v>
      </c>
      <c r="R108" s="57"/>
    </row>
    <row r="109" spans="1:18" s="18" customFormat="1" ht="16.2" customHeight="1">
      <c r="A109" s="21"/>
      <c r="B109" s="266" t="s">
        <v>244</v>
      </c>
      <c r="C109" s="267"/>
      <c r="D109" s="150" t="s">
        <v>589</v>
      </c>
      <c r="E109" s="228">
        <v>9.99</v>
      </c>
      <c r="F109" s="152">
        <v>36</v>
      </c>
      <c r="G109" s="153"/>
      <c r="H109" s="158">
        <f t="shared" si="5"/>
        <v>0</v>
      </c>
      <c r="I109" s="145"/>
      <c r="J109" s="178"/>
      <c r="K109" s="266" t="s">
        <v>152</v>
      </c>
      <c r="L109" s="274"/>
      <c r="M109" s="150" t="s">
        <v>616</v>
      </c>
      <c r="N109" s="173">
        <v>274.99</v>
      </c>
      <c r="O109" s="150">
        <v>2</v>
      </c>
      <c r="P109" s="153"/>
      <c r="Q109" s="158">
        <f t="shared" si="6"/>
        <v>0</v>
      </c>
      <c r="R109" s="57"/>
    </row>
    <row r="110" spans="1:18" s="18" customFormat="1" ht="16.2" customHeight="1">
      <c r="A110" s="21"/>
      <c r="B110" s="266" t="s">
        <v>245</v>
      </c>
      <c r="C110" s="267"/>
      <c r="D110" s="150" t="s">
        <v>587</v>
      </c>
      <c r="E110" s="228">
        <v>9.99</v>
      </c>
      <c r="F110" s="152">
        <v>36</v>
      </c>
      <c r="G110" s="153"/>
      <c r="H110" s="158">
        <f t="shared" si="5"/>
        <v>0</v>
      </c>
      <c r="I110" s="145"/>
      <c r="J110" s="178"/>
      <c r="K110" s="266" t="s">
        <v>664</v>
      </c>
      <c r="L110" s="274"/>
      <c r="M110" s="150" t="s">
        <v>618</v>
      </c>
      <c r="N110" s="173">
        <v>299.99</v>
      </c>
      <c r="O110" s="150">
        <v>1</v>
      </c>
      <c r="P110" s="153"/>
      <c r="Q110" s="158">
        <f t="shared" si="6"/>
        <v>0</v>
      </c>
      <c r="R110" s="57"/>
    </row>
    <row r="111" spans="1:18" s="18" customFormat="1" ht="16.2" customHeight="1">
      <c r="A111" s="21"/>
      <c r="B111" s="263" t="s">
        <v>125</v>
      </c>
      <c r="C111" s="264"/>
      <c r="D111" s="150" t="s">
        <v>590</v>
      </c>
      <c r="E111" s="228">
        <v>9.99</v>
      </c>
      <c r="F111" s="152">
        <v>36</v>
      </c>
      <c r="G111" s="153"/>
      <c r="H111" s="158">
        <f t="shared" si="5"/>
        <v>0</v>
      </c>
      <c r="I111" s="162"/>
      <c r="J111" s="178"/>
      <c r="K111" s="266" t="s">
        <v>665</v>
      </c>
      <c r="L111" s="267"/>
      <c r="M111" s="150" t="s">
        <v>666</v>
      </c>
      <c r="N111" s="173">
        <v>374.99</v>
      </c>
      <c r="O111" s="150">
        <v>1</v>
      </c>
      <c r="P111" s="153"/>
      <c r="Q111" s="158">
        <f t="shared" si="6"/>
        <v>0</v>
      </c>
      <c r="R111" s="57"/>
    </row>
    <row r="112" spans="1:18" ht="16.2" customHeight="1">
      <c r="B112" s="266" t="s">
        <v>51</v>
      </c>
      <c r="C112" s="267"/>
      <c r="D112" s="150" t="s">
        <v>591</v>
      </c>
      <c r="E112" s="228">
        <v>9.99</v>
      </c>
      <c r="F112" s="152">
        <v>36</v>
      </c>
      <c r="G112" s="153"/>
      <c r="H112" s="158">
        <f t="shared" si="5"/>
        <v>0</v>
      </c>
      <c r="I112" s="145"/>
      <c r="J112" s="178"/>
      <c r="K112" s="148" t="s">
        <v>186</v>
      </c>
      <c r="L112" s="175"/>
      <c r="M112" s="150" t="s">
        <v>617</v>
      </c>
      <c r="N112" s="154">
        <v>549.99</v>
      </c>
      <c r="O112" s="150">
        <v>1</v>
      </c>
      <c r="P112" s="153"/>
      <c r="Q112" s="158">
        <f t="shared" si="6"/>
        <v>0</v>
      </c>
    </row>
    <row r="113" spans="1:18" ht="16.2" customHeight="1">
      <c r="B113" s="179" t="s">
        <v>63</v>
      </c>
      <c r="C113" s="179"/>
      <c r="D113" s="166"/>
      <c r="E113" s="227" t="s">
        <v>1</v>
      </c>
      <c r="F113" s="168" t="s">
        <v>2</v>
      </c>
      <c r="G113" s="168" t="s">
        <v>68</v>
      </c>
      <c r="H113" s="169" t="s">
        <v>195</v>
      </c>
      <c r="I113" s="145"/>
      <c r="J113" s="178"/>
      <c r="K113" s="280" t="s">
        <v>66</v>
      </c>
      <c r="L113" s="281"/>
      <c r="M113" s="172" t="s">
        <v>365</v>
      </c>
      <c r="N113" s="167" t="s">
        <v>1</v>
      </c>
      <c r="O113" s="168" t="s">
        <v>2</v>
      </c>
      <c r="P113" s="168" t="s">
        <v>68</v>
      </c>
      <c r="Q113" s="169" t="s">
        <v>195</v>
      </c>
    </row>
    <row r="114" spans="1:18" s="74" customFormat="1" ht="16.2" customHeight="1">
      <c r="A114" s="46"/>
      <c r="B114" s="266" t="s">
        <v>64</v>
      </c>
      <c r="C114" s="267"/>
      <c r="D114" s="150" t="s">
        <v>592</v>
      </c>
      <c r="E114" s="228">
        <v>0.99</v>
      </c>
      <c r="F114" s="152">
        <v>144</v>
      </c>
      <c r="G114" s="153"/>
      <c r="H114" s="158">
        <f t="shared" si="5"/>
        <v>0</v>
      </c>
      <c r="I114" s="145"/>
      <c r="J114" s="178"/>
      <c r="K114" s="263" t="s">
        <v>138</v>
      </c>
      <c r="L114" s="264"/>
      <c r="M114" s="150" t="s">
        <v>619</v>
      </c>
      <c r="N114" s="176">
        <v>19.989999999999998</v>
      </c>
      <c r="O114" s="177">
        <v>1</v>
      </c>
      <c r="P114" s="153"/>
      <c r="Q114" s="158">
        <f t="shared" si="6"/>
        <v>0</v>
      </c>
      <c r="R114" s="73"/>
    </row>
    <row r="115" spans="1:18" ht="16.2" customHeight="1">
      <c r="B115" s="266" t="s">
        <v>65</v>
      </c>
      <c r="C115" s="267"/>
      <c r="D115" s="150" t="s">
        <v>593</v>
      </c>
      <c r="E115" s="228">
        <v>1.99</v>
      </c>
      <c r="F115" s="152">
        <v>144</v>
      </c>
      <c r="G115" s="153"/>
      <c r="H115" s="158">
        <f t="shared" si="5"/>
        <v>0</v>
      </c>
      <c r="I115" s="178"/>
      <c r="J115" s="178"/>
      <c r="K115" s="263" t="s">
        <v>226</v>
      </c>
      <c r="L115" s="264"/>
      <c r="M115" s="150" t="s">
        <v>619</v>
      </c>
      <c r="N115" s="176">
        <v>19.989999999999998</v>
      </c>
      <c r="O115" s="177">
        <v>1</v>
      </c>
      <c r="P115" s="153"/>
      <c r="Q115" s="158">
        <f t="shared" si="6"/>
        <v>0</v>
      </c>
    </row>
    <row r="116" spans="1:18" ht="16.2" customHeight="1">
      <c r="B116" s="263" t="s">
        <v>129</v>
      </c>
      <c r="C116" s="264"/>
      <c r="D116" s="150" t="s">
        <v>594</v>
      </c>
      <c r="E116" s="228">
        <v>4.99</v>
      </c>
      <c r="F116" s="180">
        <v>36</v>
      </c>
      <c r="G116" s="150"/>
      <c r="H116" s="158">
        <f t="shared" si="5"/>
        <v>0</v>
      </c>
      <c r="I116" s="178"/>
      <c r="J116" s="178"/>
      <c r="K116" s="263" t="s">
        <v>265</v>
      </c>
      <c r="L116" s="264"/>
      <c r="M116" s="150" t="s">
        <v>619</v>
      </c>
      <c r="N116" s="176">
        <v>19.989999999999998</v>
      </c>
      <c r="O116" s="177">
        <v>1</v>
      </c>
      <c r="P116" s="153"/>
      <c r="Q116" s="158">
        <f t="shared" si="6"/>
        <v>0</v>
      </c>
    </row>
    <row r="117" spans="1:18" ht="16.2" customHeight="1">
      <c r="B117" s="75"/>
      <c r="C117" s="75"/>
      <c r="D117" s="181"/>
      <c r="E117" s="230"/>
      <c r="F117" s="181"/>
      <c r="G117" s="181"/>
      <c r="H117" s="145"/>
      <c r="I117" s="178"/>
      <c r="J117" s="178"/>
      <c r="K117" s="263" t="s">
        <v>67</v>
      </c>
      <c r="L117" s="264"/>
      <c r="M117" s="150" t="s">
        <v>619</v>
      </c>
      <c r="N117" s="176">
        <v>29.99</v>
      </c>
      <c r="O117" s="177">
        <v>12</v>
      </c>
      <c r="P117" s="153"/>
      <c r="Q117" s="158">
        <f t="shared" si="6"/>
        <v>0</v>
      </c>
    </row>
    <row r="118" spans="1:18" ht="16.8" customHeight="1">
      <c r="B118" s="75"/>
      <c r="C118" s="75"/>
      <c r="D118" s="181"/>
      <c r="E118" s="230"/>
      <c r="F118" s="181"/>
      <c r="G118" s="181"/>
      <c r="H118" s="145"/>
      <c r="I118" s="178"/>
      <c r="J118" s="178"/>
      <c r="K118" s="263" t="s">
        <v>358</v>
      </c>
      <c r="L118" s="264"/>
      <c r="M118" s="150" t="s">
        <v>619</v>
      </c>
      <c r="N118" s="176">
        <v>199.99</v>
      </c>
      <c r="O118" s="177">
        <v>1</v>
      </c>
      <c r="P118" s="153"/>
      <c r="Q118" s="158">
        <f t="shared" si="6"/>
        <v>0</v>
      </c>
    </row>
    <row r="119" spans="1:18" ht="25.5" customHeight="1">
      <c r="B119" s="75"/>
      <c r="C119" s="75"/>
      <c r="D119" s="181"/>
      <c r="E119" s="230"/>
      <c r="F119" s="181"/>
      <c r="G119" s="181"/>
      <c r="H119" s="145"/>
      <c r="I119" s="178"/>
      <c r="J119" s="178"/>
      <c r="K119" s="313" t="s">
        <v>410</v>
      </c>
      <c r="L119" s="313"/>
      <c r="M119" s="313"/>
      <c r="N119" s="313"/>
      <c r="O119" s="313"/>
      <c r="P119" s="313"/>
      <c r="Q119" s="313"/>
    </row>
    <row r="120" spans="1:18" ht="25.5" customHeight="1">
      <c r="B120" s="75"/>
      <c r="C120" s="75"/>
      <c r="D120" s="181"/>
      <c r="E120" s="230"/>
      <c r="F120" s="181"/>
      <c r="G120" s="181"/>
      <c r="H120" s="145"/>
      <c r="I120" s="178"/>
      <c r="J120" s="178"/>
      <c r="K120" s="259"/>
      <c r="L120" s="259"/>
      <c r="M120" s="259"/>
      <c r="N120" s="259"/>
      <c r="O120" s="259"/>
      <c r="P120" s="259"/>
      <c r="Q120" s="259"/>
    </row>
    <row r="121" spans="1:18" ht="26.25" customHeight="1">
      <c r="B121" s="75"/>
      <c r="C121" s="75"/>
      <c r="D121" s="181"/>
      <c r="E121" s="230"/>
      <c r="F121" s="181"/>
      <c r="G121" s="181"/>
      <c r="H121" s="145"/>
      <c r="I121" s="178"/>
      <c r="J121" s="178"/>
      <c r="K121" s="75"/>
      <c r="L121" s="224"/>
      <c r="M121" s="181"/>
      <c r="N121" s="182"/>
      <c r="O121" s="183"/>
      <c r="P121" s="184"/>
      <c r="Q121" s="184"/>
    </row>
    <row r="122" spans="1:18" ht="30" customHeight="1">
      <c r="B122" s="186"/>
      <c r="C122" s="223" t="s">
        <v>246</v>
      </c>
      <c r="G122" s="186"/>
      <c r="H122" s="186"/>
      <c r="I122" s="186"/>
      <c r="K122" s="75"/>
      <c r="L122" s="224"/>
      <c r="M122" s="181"/>
      <c r="N122" s="182"/>
      <c r="O122" s="183"/>
      <c r="P122" s="184"/>
      <c r="Q122" s="184"/>
    </row>
    <row r="123" spans="1:18" ht="30" customHeight="1" thickBot="1">
      <c r="B123" s="188"/>
      <c r="C123" s="189"/>
      <c r="D123" s="189"/>
      <c r="E123" s="236"/>
      <c r="F123" s="189"/>
      <c r="G123" s="189"/>
      <c r="H123" s="190"/>
      <c r="I123" s="178"/>
      <c r="K123" s="279"/>
      <c r="L123" s="279"/>
      <c r="M123" s="182"/>
      <c r="N123" s="182"/>
      <c r="O123" s="183"/>
      <c r="P123" s="184"/>
      <c r="Q123" s="178"/>
    </row>
    <row r="124" spans="1:18" ht="30" customHeight="1">
      <c r="C124" s="191"/>
      <c r="D124" s="191"/>
      <c r="E124" s="237"/>
      <c r="F124" s="191"/>
      <c r="G124" s="191"/>
      <c r="H124" s="190"/>
      <c r="I124" s="178"/>
      <c r="K124" s="178"/>
      <c r="L124" s="287" t="s">
        <v>247</v>
      </c>
      <c r="M124" s="288"/>
      <c r="N124" s="289"/>
      <c r="O124" s="289"/>
      <c r="P124" s="311">
        <f>(SUM(H15:H73,Q15:Q19,Q21,Q23:Q39,Q41:Q54,Q56:Q69,H85:H91,H93:H112,H114:H116,Q85:Q94,Q96:Q112,Q114:Q118))</f>
        <v>0</v>
      </c>
      <c r="Q124" s="312"/>
    </row>
    <row r="125" spans="1:18" ht="30" customHeight="1">
      <c r="C125" s="191"/>
      <c r="D125" s="191"/>
      <c r="E125" s="237"/>
      <c r="F125" s="191"/>
      <c r="G125" s="191"/>
      <c r="H125" s="190"/>
      <c r="I125" s="178"/>
      <c r="K125" s="178"/>
      <c r="L125" s="258" t="s">
        <v>248</v>
      </c>
      <c r="M125" s="283">
        <v>0</v>
      </c>
      <c r="N125" s="283"/>
      <c r="O125" s="284"/>
      <c r="P125" s="316">
        <f>(P124*M125)</f>
        <v>0</v>
      </c>
      <c r="Q125" s="317"/>
    </row>
    <row r="126" spans="1:18" ht="30" customHeight="1">
      <c r="C126" s="191"/>
      <c r="D126" s="191"/>
      <c r="E126" s="237"/>
      <c r="F126" s="191"/>
      <c r="G126" s="191"/>
      <c r="H126" s="190"/>
      <c r="I126" s="178"/>
      <c r="K126" s="186"/>
      <c r="L126" s="276" t="s">
        <v>249</v>
      </c>
      <c r="M126" s="277"/>
      <c r="N126" s="278"/>
      <c r="O126" s="278"/>
      <c r="P126" s="316">
        <f>(P124-P125)</f>
        <v>0</v>
      </c>
      <c r="Q126" s="317"/>
    </row>
    <row r="127" spans="1:18" ht="30" customHeight="1">
      <c r="C127" s="191"/>
      <c r="D127" s="191"/>
      <c r="E127" s="237"/>
      <c r="F127" s="191"/>
      <c r="G127" s="191"/>
      <c r="H127" s="190"/>
      <c r="I127" s="178"/>
      <c r="K127" s="178"/>
      <c r="L127" s="276" t="s">
        <v>409</v>
      </c>
      <c r="M127" s="277"/>
      <c r="N127" s="277"/>
      <c r="O127" s="277"/>
      <c r="P127" s="316">
        <f>(P126*0.13)</f>
        <v>0</v>
      </c>
      <c r="Q127" s="317"/>
    </row>
    <row r="128" spans="1:18" ht="30" customHeight="1" thickBot="1">
      <c r="C128" s="282"/>
      <c r="D128" s="282"/>
      <c r="E128" s="282"/>
      <c r="F128" s="282"/>
      <c r="G128" s="282"/>
      <c r="H128" s="193"/>
      <c r="I128" s="178"/>
      <c r="K128" s="178"/>
      <c r="L128" s="314" t="s">
        <v>250</v>
      </c>
      <c r="M128" s="315"/>
      <c r="N128" s="315"/>
      <c r="O128" s="315"/>
      <c r="P128" s="311">
        <f>(P126+P127)</f>
        <v>0</v>
      </c>
      <c r="Q128" s="312"/>
    </row>
    <row r="129" spans="3:17" ht="30" customHeight="1">
      <c r="C129" s="184"/>
      <c r="D129" s="181"/>
      <c r="E129" s="206"/>
      <c r="F129" s="181"/>
      <c r="G129" s="184"/>
      <c r="H129" s="184"/>
      <c r="I129" s="178"/>
      <c r="K129" s="178"/>
      <c r="L129" s="178"/>
      <c r="M129" s="178"/>
      <c r="N129" s="185"/>
      <c r="O129" s="178"/>
      <c r="P129" s="178"/>
      <c r="Q129" s="178"/>
    </row>
    <row r="130" spans="3:17" ht="30" customHeight="1">
      <c r="C130" s="184"/>
      <c r="D130" s="181"/>
      <c r="E130" s="206"/>
      <c r="F130" s="181"/>
      <c r="G130" s="184"/>
      <c r="H130" s="184"/>
      <c r="K130" s="178"/>
      <c r="L130" s="178"/>
      <c r="M130" s="178"/>
      <c r="N130" s="185"/>
      <c r="O130" s="178"/>
      <c r="P130" s="178"/>
      <c r="Q130" s="178"/>
    </row>
    <row r="131" spans="3:17" ht="30" customHeight="1">
      <c r="C131" s="184"/>
      <c r="D131" s="181"/>
      <c r="E131" s="206"/>
      <c r="F131" s="181"/>
      <c r="G131" s="184"/>
      <c r="H131" s="184"/>
      <c r="K131" s="178"/>
      <c r="L131" s="178"/>
      <c r="M131" s="178"/>
      <c r="N131" s="185"/>
      <c r="O131" s="178"/>
      <c r="P131" s="178"/>
      <c r="Q131" s="178"/>
    </row>
    <row r="132" spans="3:17" ht="24" customHeight="1">
      <c r="G132" s="178"/>
      <c r="H132" s="178"/>
      <c r="K132" s="178"/>
      <c r="L132" s="178"/>
      <c r="M132" s="178"/>
      <c r="N132" s="185"/>
      <c r="O132" s="178"/>
      <c r="P132" s="178"/>
      <c r="Q132" s="178"/>
    </row>
    <row r="133" spans="3:17" ht="16.8">
      <c r="K133" s="64"/>
      <c r="L133" s="64"/>
      <c r="M133" s="64"/>
      <c r="N133" s="79"/>
      <c r="O133" s="64"/>
      <c r="P133" s="64"/>
      <c r="Q133" s="64"/>
    </row>
    <row r="134" spans="3:17" ht="16.8">
      <c r="K134" s="64"/>
      <c r="L134" s="64"/>
      <c r="M134" s="64"/>
      <c r="N134" s="79"/>
      <c r="O134" s="64"/>
      <c r="P134" s="64"/>
      <c r="Q134" s="64"/>
    </row>
    <row r="135" spans="3:17" ht="16.8">
      <c r="K135" s="64"/>
      <c r="L135" s="64"/>
      <c r="M135" s="64"/>
      <c r="N135" s="79"/>
      <c r="O135" s="64"/>
      <c r="P135" s="64"/>
    </row>
  </sheetData>
  <mergeCells count="175">
    <mergeCell ref="P128:Q128"/>
    <mergeCell ref="K119:Q119"/>
    <mergeCell ref="L128:O128"/>
    <mergeCell ref="B91:C91"/>
    <mergeCell ref="K87:L87"/>
    <mergeCell ref="P124:Q124"/>
    <mergeCell ref="P125:Q125"/>
    <mergeCell ref="P126:Q126"/>
    <mergeCell ref="P127:Q127"/>
    <mergeCell ref="B112:C112"/>
    <mergeCell ref="A6:Q6"/>
    <mergeCell ref="F5:O5"/>
    <mergeCell ref="B89:C89"/>
    <mergeCell ref="B88:C88"/>
    <mergeCell ref="B87:C87"/>
    <mergeCell ref="B86:C86"/>
    <mergeCell ref="B76:D80"/>
    <mergeCell ref="B32:C32"/>
    <mergeCell ref="B31:C31"/>
    <mergeCell ref="B46:C46"/>
    <mergeCell ref="B44:C44"/>
    <mergeCell ref="B45:C45"/>
    <mergeCell ref="B60:C60"/>
    <mergeCell ref="B55:C55"/>
    <mergeCell ref="B56:C56"/>
    <mergeCell ref="B47:C47"/>
    <mergeCell ref="B52:C52"/>
    <mergeCell ref="B51:C51"/>
    <mergeCell ref="B59:C59"/>
    <mergeCell ref="B65:C65"/>
    <mergeCell ref="B67:C67"/>
    <mergeCell ref="K89:L89"/>
    <mergeCell ref="K65:L65"/>
    <mergeCell ref="K67:L67"/>
    <mergeCell ref="B7:R7"/>
    <mergeCell ref="K11:Q11"/>
    <mergeCell ref="B102:C102"/>
    <mergeCell ref="B92:C92"/>
    <mergeCell ref="B9:H9"/>
    <mergeCell ref="K22:L22"/>
    <mergeCell ref="B97:C97"/>
    <mergeCell ref="B10:H10"/>
    <mergeCell ref="B11:H11"/>
    <mergeCell ref="K9:L9"/>
    <mergeCell ref="K97:L97"/>
    <mergeCell ref="K86:L86"/>
    <mergeCell ref="D82:G82"/>
    <mergeCell ref="B96:C96"/>
    <mergeCell ref="B85:C85"/>
    <mergeCell ref="B12:H12"/>
    <mergeCell ref="B82:C82"/>
    <mergeCell ref="K12:Q12"/>
    <mergeCell ref="K16:L16"/>
    <mergeCell ref="K23:L23"/>
    <mergeCell ref="K24:L24"/>
    <mergeCell ref="K25:L25"/>
    <mergeCell ref="K26:L26"/>
    <mergeCell ref="K93:L93"/>
    <mergeCell ref="C128:G128"/>
    <mergeCell ref="M125:O125"/>
    <mergeCell ref="B90:C90"/>
    <mergeCell ref="K84:L84"/>
    <mergeCell ref="K96:L96"/>
    <mergeCell ref="K95:L95"/>
    <mergeCell ref="K88:L88"/>
    <mergeCell ref="B98:C98"/>
    <mergeCell ref="B114:C114"/>
    <mergeCell ref="L124:O124"/>
    <mergeCell ref="B106:C106"/>
    <mergeCell ref="B111:C111"/>
    <mergeCell ref="B110:C110"/>
    <mergeCell ref="B108:C108"/>
    <mergeCell ref="B105:C105"/>
    <mergeCell ref="B104:C104"/>
    <mergeCell ref="B103:C103"/>
    <mergeCell ref="B107:C107"/>
    <mergeCell ref="K108:L108"/>
    <mergeCell ref="L126:O126"/>
    <mergeCell ref="L127:O127"/>
    <mergeCell ref="K31:L31"/>
    <mergeCell ref="K123:L123"/>
    <mergeCell ref="K106:L106"/>
    <mergeCell ref="K117:L117"/>
    <mergeCell ref="K85:L85"/>
    <mergeCell ref="B116:C116"/>
    <mergeCell ref="B115:C115"/>
    <mergeCell ref="B109:C109"/>
    <mergeCell ref="B95:C95"/>
    <mergeCell ref="K107:L107"/>
    <mergeCell ref="K109:L109"/>
    <mergeCell ref="K103:L103"/>
    <mergeCell ref="K104:L104"/>
    <mergeCell ref="K113:L113"/>
    <mergeCell ref="K115:L115"/>
    <mergeCell ref="K69:L69"/>
    <mergeCell ref="B68:C68"/>
    <mergeCell ref="B81:Q81"/>
    <mergeCell ref="K118:L118"/>
    <mergeCell ref="K37:L37"/>
    <mergeCell ref="K38:L38"/>
    <mergeCell ref="K39:L39"/>
    <mergeCell ref="K114:L114"/>
    <mergeCell ref="K100:L100"/>
    <mergeCell ref="K101:L101"/>
    <mergeCell ref="K105:L105"/>
    <mergeCell ref="K28:L28"/>
    <mergeCell ref="K29:L29"/>
    <mergeCell ref="K30:L30"/>
    <mergeCell ref="K45:L45"/>
    <mergeCell ref="K110:L110"/>
    <mergeCell ref="K32:L32"/>
    <mergeCell ref="K33:L33"/>
    <mergeCell ref="K34:L34"/>
    <mergeCell ref="K35:L35"/>
    <mergeCell ref="K36:L36"/>
    <mergeCell ref="K102:L102"/>
    <mergeCell ref="K116:L116"/>
    <mergeCell ref="K98:L98"/>
    <mergeCell ref="O9:Q9"/>
    <mergeCell ref="K14:L14"/>
    <mergeCell ref="B30:C30"/>
    <mergeCell ref="B35:C35"/>
    <mergeCell ref="B33:C33"/>
    <mergeCell ref="B34:C34"/>
    <mergeCell ref="B36:C36"/>
    <mergeCell ref="B37:C37"/>
    <mergeCell ref="B15:C15"/>
    <mergeCell ref="B19:C19"/>
    <mergeCell ref="B20:C20"/>
    <mergeCell ref="B21:C21"/>
    <mergeCell ref="B26:C26"/>
    <mergeCell ref="B29:C29"/>
    <mergeCell ref="B28:C28"/>
    <mergeCell ref="B16:C16"/>
    <mergeCell ref="B17:C17"/>
    <mergeCell ref="B18:C18"/>
    <mergeCell ref="B22:C22"/>
    <mergeCell ref="B23:C23"/>
    <mergeCell ref="B24:C24"/>
    <mergeCell ref="B27:C27"/>
    <mergeCell ref="B25:C25"/>
    <mergeCell ref="K27:L27"/>
    <mergeCell ref="K111:L111"/>
    <mergeCell ref="M9:N9"/>
    <mergeCell ref="K19:L19"/>
    <mergeCell ref="B38:C38"/>
    <mergeCell ref="B48:C48"/>
    <mergeCell ref="B49:C49"/>
    <mergeCell ref="B66:C66"/>
    <mergeCell ref="B57:C57"/>
    <mergeCell ref="B70:C70"/>
    <mergeCell ref="B73:C73"/>
    <mergeCell ref="K15:L15"/>
    <mergeCell ref="K17:L17"/>
    <mergeCell ref="K18:L18"/>
    <mergeCell ref="B50:C50"/>
    <mergeCell ref="B58:C58"/>
    <mergeCell ref="B63:C63"/>
    <mergeCell ref="B64:C64"/>
    <mergeCell ref="B69:C69"/>
    <mergeCell ref="B41:C41"/>
    <mergeCell ref="B40:C40"/>
    <mergeCell ref="B39:C39"/>
    <mergeCell ref="B42:C42"/>
    <mergeCell ref="B43:C43"/>
    <mergeCell ref="K44:L44"/>
    <mergeCell ref="K64:L64"/>
    <mergeCell ref="K68:L68"/>
    <mergeCell ref="B100:C100"/>
    <mergeCell ref="B99:C99"/>
    <mergeCell ref="K99:L99"/>
    <mergeCell ref="B94:C94"/>
    <mergeCell ref="B93:C93"/>
    <mergeCell ref="B71:C71"/>
    <mergeCell ref="B72:C72"/>
  </mergeCells>
  <phoneticPr fontId="4" type="noConversion"/>
  <pageMargins left="0" right="0.19685039370078741" top="0.19685039370078741" bottom="0" header="0.15748031496062992" footer="0"/>
  <pageSetup scale="65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70"/>
  <sheetViews>
    <sheetView view="pageBreakPreview" zoomScale="90" zoomScaleNormal="100" zoomScaleSheetLayoutView="90" workbookViewId="0">
      <selection activeCell="A68" sqref="A68:I68"/>
    </sheetView>
  </sheetViews>
  <sheetFormatPr defaultRowHeight="13.2"/>
  <cols>
    <col min="2" max="2" width="11.109375" customWidth="1"/>
    <col min="3" max="3" width="15.44140625" customWidth="1"/>
    <col min="4" max="4" width="25.5546875" customWidth="1"/>
    <col min="5" max="5" width="0.44140625" customWidth="1"/>
    <col min="6" max="6" width="9.109375" customWidth="1"/>
    <col min="7" max="7" width="11.109375" customWidth="1"/>
    <col min="8" max="8" width="15.44140625" customWidth="1"/>
    <col min="9" max="9" width="25.5546875" customWidth="1"/>
    <col min="10" max="10" width="17.6640625" customWidth="1"/>
    <col min="11" max="11" width="0.5546875" customWidth="1"/>
  </cols>
  <sheetData>
    <row r="1" spans="1:18" s="8" customFormat="1" ht="21" customHeight="1">
      <c r="A1" s="51"/>
      <c r="B1" s="23"/>
      <c r="C1" s="23"/>
      <c r="D1" s="69" t="s">
        <v>361</v>
      </c>
      <c r="E1" s="131"/>
      <c r="F1" s="131"/>
      <c r="G1" s="132"/>
      <c r="H1" s="132"/>
      <c r="I1" s="22"/>
      <c r="J1" s="22"/>
      <c r="K1" s="22"/>
      <c r="L1" s="78"/>
      <c r="M1" s="22"/>
      <c r="P1" s="22"/>
      <c r="Q1" s="22"/>
      <c r="R1" s="58"/>
    </row>
    <row r="2" spans="1:18" s="8" customFormat="1" ht="18" customHeight="1">
      <c r="A2" s="51"/>
      <c r="B2" s="51"/>
      <c r="C2" s="51"/>
      <c r="D2" s="133" t="s">
        <v>362</v>
      </c>
      <c r="E2" s="134"/>
      <c r="F2" s="134"/>
      <c r="G2" s="135"/>
      <c r="H2" s="135"/>
      <c r="I2" s="23"/>
      <c r="J2" s="22"/>
      <c r="K2" s="22"/>
      <c r="L2" s="78"/>
      <c r="M2" s="22"/>
      <c r="P2" s="22"/>
      <c r="Q2" s="22"/>
      <c r="R2" s="58"/>
    </row>
    <row r="3" spans="1:18" s="8" customFormat="1" ht="18" customHeight="1">
      <c r="A3" s="51"/>
      <c r="B3" s="51"/>
      <c r="C3" s="51"/>
      <c r="D3" s="136" t="s">
        <v>363</v>
      </c>
      <c r="E3" s="136"/>
      <c r="F3" s="136"/>
      <c r="G3" s="135"/>
      <c r="H3" s="135"/>
      <c r="I3" s="23"/>
      <c r="J3" s="22"/>
      <c r="K3" s="22"/>
      <c r="L3" s="78"/>
      <c r="M3" s="22"/>
      <c r="P3" s="22"/>
      <c r="Q3" s="22"/>
      <c r="R3" s="58"/>
    </row>
    <row r="4" spans="1:18" s="8" customFormat="1" ht="18" customHeight="1" thickBot="1">
      <c r="B4" s="17"/>
      <c r="C4" s="17"/>
      <c r="D4" s="137" t="s">
        <v>393</v>
      </c>
      <c r="E4" s="137"/>
      <c r="F4" s="137"/>
      <c r="G4" s="137"/>
      <c r="H4" s="137"/>
      <c r="I4" s="137"/>
      <c r="J4" s="54"/>
      <c r="K4" s="54"/>
      <c r="L4" s="54"/>
      <c r="M4" s="54"/>
      <c r="P4" s="22"/>
      <c r="Q4" s="22"/>
      <c r="R4" s="58"/>
    </row>
    <row r="5" spans="1:18" s="8" customFormat="1" ht="18" customHeight="1" thickBot="1">
      <c r="A5" s="371" t="s">
        <v>471</v>
      </c>
      <c r="B5" s="372"/>
      <c r="C5" s="372"/>
      <c r="D5" s="372"/>
      <c r="E5" s="372"/>
      <c r="F5" s="372"/>
      <c r="G5" s="372"/>
      <c r="H5" s="372"/>
      <c r="I5" s="373"/>
      <c r="J5" s="54"/>
      <c r="K5" s="54"/>
      <c r="L5" s="54"/>
      <c r="M5" s="54"/>
      <c r="P5" s="22"/>
      <c r="Q5" s="22"/>
      <c r="R5" s="58"/>
    </row>
    <row r="6" spans="1:18" ht="18" customHeight="1">
      <c r="A6" s="368" t="s">
        <v>52</v>
      </c>
      <c r="B6" s="369"/>
      <c r="C6" s="369"/>
      <c r="D6" s="370"/>
      <c r="E6" s="81"/>
      <c r="F6" s="368" t="s">
        <v>264</v>
      </c>
      <c r="G6" s="369"/>
      <c r="H6" s="369"/>
      <c r="I6" s="370"/>
      <c r="J6" s="29"/>
      <c r="K6" s="29"/>
      <c r="L6" s="29"/>
      <c r="M6" s="29"/>
      <c r="N6" s="29"/>
    </row>
    <row r="7" spans="1:18" ht="14.25" customHeight="1">
      <c r="A7" s="343" t="s">
        <v>408</v>
      </c>
      <c r="B7" s="344"/>
      <c r="C7" s="343" t="s">
        <v>253</v>
      </c>
      <c r="D7" s="344"/>
      <c r="E7" s="84"/>
      <c r="F7" s="85" t="s">
        <v>412</v>
      </c>
      <c r="G7" s="86"/>
      <c r="H7" s="87" t="s">
        <v>413</v>
      </c>
      <c r="I7" s="88"/>
    </row>
    <row r="8" spans="1:18" ht="14.4" customHeight="1">
      <c r="A8" s="72" t="s">
        <v>57</v>
      </c>
      <c r="B8" s="89"/>
      <c r="C8" s="72" t="s">
        <v>414</v>
      </c>
      <c r="D8" s="90"/>
      <c r="E8" s="84"/>
      <c r="F8" s="91"/>
      <c r="G8" s="92"/>
      <c r="H8" s="93" t="s">
        <v>415</v>
      </c>
      <c r="I8" s="94"/>
      <c r="J8" s="6"/>
      <c r="K8" s="6"/>
      <c r="L8" s="6"/>
      <c r="M8" s="6"/>
      <c r="N8" s="5"/>
      <c r="O8" s="5"/>
    </row>
    <row r="9" spans="1:18" ht="14.4" customHeight="1">
      <c r="A9" s="95" t="s">
        <v>139</v>
      </c>
      <c r="B9" s="96"/>
      <c r="C9" s="341" t="s">
        <v>141</v>
      </c>
      <c r="D9" s="342"/>
      <c r="E9" s="84"/>
      <c r="F9" s="85" t="s">
        <v>416</v>
      </c>
      <c r="G9" s="86"/>
      <c r="H9" s="87" t="s">
        <v>417</v>
      </c>
      <c r="I9" s="88"/>
      <c r="J9" s="5"/>
      <c r="K9" s="5"/>
      <c r="L9" s="5"/>
      <c r="M9" s="5"/>
      <c r="N9" s="5"/>
      <c r="O9" s="5"/>
    </row>
    <row r="10" spans="1:18" ht="14.4" customHeight="1">
      <c r="A10" s="85" t="s">
        <v>58</v>
      </c>
      <c r="B10" s="98"/>
      <c r="C10" s="349" t="s">
        <v>284</v>
      </c>
      <c r="D10" s="350"/>
      <c r="E10" s="84"/>
      <c r="F10" s="91"/>
      <c r="G10" s="92"/>
      <c r="H10" s="93" t="s">
        <v>418</v>
      </c>
      <c r="I10" s="94"/>
      <c r="J10" s="5"/>
      <c r="K10" s="5"/>
      <c r="L10" s="5"/>
      <c r="M10" s="5"/>
      <c r="N10" s="5"/>
      <c r="O10" s="5"/>
    </row>
    <row r="11" spans="1:18" ht="14.4" customHeight="1">
      <c r="A11" s="91"/>
      <c r="B11" s="100"/>
      <c r="C11" s="91" t="s">
        <v>285</v>
      </c>
      <c r="D11" s="101"/>
      <c r="E11" s="84"/>
      <c r="F11" s="95" t="s">
        <v>419</v>
      </c>
      <c r="G11" s="84"/>
      <c r="H11" s="102" t="s">
        <v>420</v>
      </c>
      <c r="I11" s="103"/>
      <c r="J11" s="5"/>
      <c r="K11" s="5"/>
      <c r="L11" s="5"/>
      <c r="M11" s="5"/>
      <c r="N11" s="5"/>
      <c r="O11" s="5"/>
    </row>
    <row r="12" spans="1:18" ht="14.4" customHeight="1">
      <c r="A12" s="341" t="s">
        <v>158</v>
      </c>
      <c r="B12" s="352"/>
      <c r="C12" s="95" t="s">
        <v>286</v>
      </c>
      <c r="D12" s="96"/>
      <c r="E12" s="84"/>
      <c r="F12" s="95"/>
      <c r="G12" s="84"/>
      <c r="H12" s="102" t="s">
        <v>421</v>
      </c>
      <c r="I12" s="103"/>
      <c r="J12" s="5"/>
      <c r="K12" s="5"/>
      <c r="L12" s="5"/>
      <c r="M12" s="5"/>
      <c r="N12" s="5"/>
      <c r="O12" s="5"/>
    </row>
    <row r="13" spans="1:18" ht="14.4" customHeight="1">
      <c r="A13" s="91"/>
      <c r="B13" s="105"/>
      <c r="C13" s="91" t="s">
        <v>262</v>
      </c>
      <c r="D13" s="92"/>
      <c r="E13" s="84"/>
      <c r="F13" s="349" t="s">
        <v>193</v>
      </c>
      <c r="G13" s="351"/>
      <c r="H13" s="85" t="s">
        <v>319</v>
      </c>
      <c r="I13" s="99"/>
      <c r="J13" s="5"/>
      <c r="K13" s="5"/>
      <c r="L13" s="5"/>
      <c r="M13" s="5"/>
      <c r="N13" s="5"/>
      <c r="O13" s="5"/>
    </row>
    <row r="14" spans="1:18" ht="14.4" customHeight="1">
      <c r="A14" s="320" t="s">
        <v>53</v>
      </c>
      <c r="B14" s="321"/>
      <c r="C14" s="341" t="s">
        <v>287</v>
      </c>
      <c r="D14" s="342"/>
      <c r="E14" s="84"/>
      <c r="F14" s="353"/>
      <c r="G14" s="354"/>
      <c r="H14" s="95" t="s">
        <v>320</v>
      </c>
      <c r="I14" s="97"/>
      <c r="J14" s="7"/>
      <c r="K14" s="7"/>
      <c r="L14" s="7"/>
      <c r="M14" s="7"/>
      <c r="N14" s="5"/>
      <c r="O14" s="5"/>
    </row>
    <row r="15" spans="1:18" ht="14.4" customHeight="1">
      <c r="A15" s="85" t="s">
        <v>54</v>
      </c>
      <c r="B15" s="86"/>
      <c r="C15" s="349" t="s">
        <v>354</v>
      </c>
      <c r="D15" s="350"/>
      <c r="E15" s="84"/>
      <c r="F15" s="107"/>
      <c r="G15" s="108"/>
      <c r="H15" s="91" t="s">
        <v>321</v>
      </c>
      <c r="I15" s="101"/>
      <c r="J15" s="14"/>
      <c r="K15" s="14"/>
      <c r="L15" s="14"/>
      <c r="M15" s="14"/>
      <c r="N15" s="5"/>
      <c r="O15" s="5"/>
    </row>
    <row r="16" spans="1:18" ht="14.4" customHeight="1">
      <c r="A16" s="91"/>
      <c r="B16" s="92"/>
      <c r="C16" s="91" t="s">
        <v>254</v>
      </c>
      <c r="D16" s="101"/>
      <c r="E16" s="84"/>
      <c r="F16" s="82" t="s">
        <v>422</v>
      </c>
      <c r="G16" s="83"/>
      <c r="H16" s="85" t="s">
        <v>423</v>
      </c>
      <c r="I16" s="99"/>
      <c r="J16" s="5"/>
      <c r="K16" s="5"/>
      <c r="L16" s="5"/>
      <c r="M16" s="5"/>
      <c r="N16" s="5"/>
      <c r="O16" s="5"/>
    </row>
    <row r="17" spans="1:15" ht="14.4" customHeight="1">
      <c r="A17" s="339" t="s">
        <v>204</v>
      </c>
      <c r="B17" s="340"/>
      <c r="C17" s="339" t="s">
        <v>216</v>
      </c>
      <c r="D17" s="340"/>
      <c r="E17" s="84"/>
      <c r="F17" s="109" t="s">
        <v>275</v>
      </c>
      <c r="G17" s="110"/>
      <c r="H17" s="91" t="s">
        <v>424</v>
      </c>
      <c r="I17" s="101"/>
      <c r="J17" s="5"/>
      <c r="K17" s="5"/>
      <c r="L17" s="364"/>
      <c r="M17" s="364"/>
      <c r="N17" s="364"/>
      <c r="O17" s="364"/>
    </row>
    <row r="18" spans="1:15" ht="14.4" customHeight="1">
      <c r="A18" s="320" t="s">
        <v>179</v>
      </c>
      <c r="B18" s="321"/>
      <c r="C18" s="349" t="s">
        <v>180</v>
      </c>
      <c r="D18" s="350"/>
      <c r="E18" s="81"/>
      <c r="F18" s="341" t="s">
        <v>398</v>
      </c>
      <c r="G18" s="352"/>
      <c r="H18" s="95" t="s">
        <v>323</v>
      </c>
      <c r="I18" s="96"/>
      <c r="J18" s="3"/>
      <c r="K18" s="5"/>
      <c r="L18" s="5"/>
      <c r="M18" s="5"/>
      <c r="N18" s="5"/>
      <c r="O18" s="5"/>
    </row>
    <row r="19" spans="1:15" ht="14.4" customHeight="1">
      <c r="A19" s="349" t="s">
        <v>174</v>
      </c>
      <c r="B19" s="351"/>
      <c r="C19" s="349" t="s">
        <v>288</v>
      </c>
      <c r="D19" s="350"/>
      <c r="E19" s="81"/>
      <c r="F19" s="95"/>
      <c r="G19" s="104"/>
      <c r="H19" s="95" t="s">
        <v>324</v>
      </c>
      <c r="I19" s="96"/>
      <c r="J19" s="2"/>
      <c r="L19" s="364"/>
      <c r="M19" s="364"/>
      <c r="N19" s="364"/>
      <c r="O19" s="364"/>
    </row>
    <row r="20" spans="1:15" ht="14.4" customHeight="1">
      <c r="A20" s="374"/>
      <c r="B20" s="375"/>
      <c r="C20" s="91" t="s">
        <v>425</v>
      </c>
      <c r="D20" s="101"/>
      <c r="E20" s="81"/>
      <c r="F20" s="91"/>
      <c r="G20" s="105"/>
      <c r="H20" s="91" t="s">
        <v>325</v>
      </c>
      <c r="I20" s="92"/>
      <c r="L20" s="364"/>
      <c r="M20" s="364"/>
      <c r="N20" s="364"/>
      <c r="O20" s="364"/>
    </row>
    <row r="21" spans="1:15" ht="14.4" customHeight="1">
      <c r="A21" s="349" t="s">
        <v>172</v>
      </c>
      <c r="B21" s="350"/>
      <c r="C21" s="352" t="s">
        <v>289</v>
      </c>
      <c r="D21" s="342"/>
      <c r="E21" s="81"/>
      <c r="F21" s="339" t="s">
        <v>207</v>
      </c>
      <c r="G21" s="340"/>
      <c r="H21" s="376" t="s">
        <v>218</v>
      </c>
      <c r="I21" s="377"/>
      <c r="L21" s="364"/>
      <c r="M21" s="364"/>
      <c r="N21" s="364"/>
      <c r="O21" s="364"/>
    </row>
    <row r="22" spans="1:15" ht="14.4" customHeight="1">
      <c r="A22" s="91"/>
      <c r="B22" s="101"/>
      <c r="C22" s="104" t="s">
        <v>290</v>
      </c>
      <c r="D22" s="97"/>
      <c r="E22" s="81"/>
      <c r="F22" s="320" t="s">
        <v>208</v>
      </c>
      <c r="G22" s="321"/>
      <c r="H22" s="320" t="s">
        <v>220</v>
      </c>
      <c r="I22" s="321"/>
      <c r="L22" s="364"/>
      <c r="M22" s="364"/>
      <c r="N22" s="364"/>
      <c r="O22" s="364"/>
    </row>
    <row r="23" spans="1:15" ht="14.4" customHeight="1">
      <c r="A23" s="95" t="s">
        <v>59</v>
      </c>
      <c r="B23" s="84"/>
      <c r="C23" s="349" t="s">
        <v>268</v>
      </c>
      <c r="D23" s="350"/>
      <c r="E23" s="81"/>
      <c r="F23" s="349" t="s">
        <v>194</v>
      </c>
      <c r="G23" s="350"/>
      <c r="H23" s="85" t="s">
        <v>273</v>
      </c>
      <c r="I23" s="97"/>
      <c r="J23" s="2"/>
      <c r="L23" s="364"/>
      <c r="M23" s="364"/>
      <c r="N23" s="364"/>
      <c r="O23" s="364"/>
    </row>
    <row r="24" spans="1:15" ht="14.4" customHeight="1">
      <c r="A24" s="91"/>
      <c r="B24" s="100"/>
      <c r="C24" s="341" t="s">
        <v>269</v>
      </c>
      <c r="D24" s="342"/>
      <c r="E24" s="81"/>
      <c r="F24" s="376"/>
      <c r="G24" s="377"/>
      <c r="H24" s="95" t="s">
        <v>274</v>
      </c>
      <c r="I24" s="97"/>
      <c r="L24" s="364"/>
      <c r="M24" s="364"/>
      <c r="N24" s="364"/>
      <c r="O24" s="364"/>
    </row>
    <row r="25" spans="1:15" ht="14.4" customHeight="1">
      <c r="A25" s="95" t="s">
        <v>426</v>
      </c>
      <c r="B25" s="84"/>
      <c r="C25" s="85" t="s">
        <v>427</v>
      </c>
      <c r="D25" s="99"/>
      <c r="E25" s="81"/>
      <c r="F25" s="349" t="s">
        <v>399</v>
      </c>
      <c r="G25" s="351"/>
      <c r="H25" s="349" t="s">
        <v>260</v>
      </c>
      <c r="I25" s="350"/>
      <c r="J25" s="2"/>
      <c r="K25" s="2"/>
      <c r="L25" s="2"/>
      <c r="M25" s="1"/>
      <c r="N25" s="1"/>
      <c r="O25" s="1"/>
    </row>
    <row r="26" spans="1:15" ht="14.4" customHeight="1">
      <c r="A26" s="95"/>
      <c r="B26" s="84"/>
      <c r="C26" s="91" t="s">
        <v>428</v>
      </c>
      <c r="D26" s="101"/>
      <c r="E26" s="81"/>
      <c r="F26" s="38"/>
      <c r="G26" s="39"/>
      <c r="H26" s="339" t="s">
        <v>261</v>
      </c>
      <c r="I26" s="340"/>
      <c r="K26" s="2"/>
      <c r="L26" s="2"/>
      <c r="M26" s="1"/>
      <c r="N26" s="1"/>
      <c r="O26" s="1"/>
    </row>
    <row r="27" spans="1:15" ht="14.4" customHeight="1">
      <c r="A27" s="349" t="s">
        <v>175</v>
      </c>
      <c r="B27" s="351"/>
      <c r="C27" s="87" t="s">
        <v>270</v>
      </c>
      <c r="D27" s="86"/>
      <c r="E27" s="81"/>
      <c r="F27" s="339" t="s">
        <v>210</v>
      </c>
      <c r="G27" s="340"/>
      <c r="H27" s="341" t="s">
        <v>221</v>
      </c>
      <c r="I27" s="342"/>
    </row>
    <row r="28" spans="1:15" ht="14.4" customHeight="1">
      <c r="A28" s="95"/>
      <c r="B28" s="104"/>
      <c r="C28" s="341" t="s">
        <v>271</v>
      </c>
      <c r="D28" s="342"/>
      <c r="E28" s="81"/>
      <c r="F28" s="341" t="s">
        <v>400</v>
      </c>
      <c r="G28" s="352"/>
      <c r="H28" s="349" t="s">
        <v>429</v>
      </c>
      <c r="I28" s="350"/>
      <c r="J28" s="11"/>
      <c r="K28" s="11"/>
      <c r="L28" s="11"/>
      <c r="M28" s="11"/>
      <c r="N28" s="4"/>
    </row>
    <row r="29" spans="1:15" ht="14.4" customHeight="1">
      <c r="A29" s="349" t="s">
        <v>61</v>
      </c>
      <c r="B29" s="351"/>
      <c r="C29" s="85" t="s">
        <v>291</v>
      </c>
      <c r="D29" s="86"/>
      <c r="E29" s="81"/>
      <c r="F29" s="95"/>
      <c r="G29" s="104"/>
      <c r="H29" s="95" t="s">
        <v>430</v>
      </c>
      <c r="I29" s="97"/>
      <c r="J29" s="360"/>
      <c r="K29" s="360"/>
      <c r="L29" s="360"/>
      <c r="M29" s="360"/>
      <c r="N29" s="4"/>
    </row>
    <row r="30" spans="1:15" ht="14.4" customHeight="1">
      <c r="A30" s="91"/>
      <c r="B30" s="105"/>
      <c r="C30" s="91" t="s">
        <v>292</v>
      </c>
      <c r="D30" s="92"/>
      <c r="E30" s="81"/>
      <c r="F30" s="95"/>
      <c r="G30" s="104"/>
      <c r="H30" s="95" t="s">
        <v>431</v>
      </c>
      <c r="I30" s="97"/>
      <c r="J30" s="360"/>
      <c r="K30" s="360"/>
      <c r="L30" s="360"/>
      <c r="M30" s="360"/>
      <c r="N30" s="4"/>
    </row>
    <row r="31" spans="1:15" ht="14.4" customHeight="1">
      <c r="A31" s="339" t="s">
        <v>140</v>
      </c>
      <c r="B31" s="340"/>
      <c r="C31" s="111" t="s">
        <v>293</v>
      </c>
      <c r="D31" s="92"/>
      <c r="E31" s="81"/>
      <c r="F31" s="85" t="s">
        <v>432</v>
      </c>
      <c r="G31" s="106"/>
      <c r="H31" s="85" t="s">
        <v>433</v>
      </c>
      <c r="I31" s="99"/>
      <c r="J31" s="360"/>
      <c r="K31" s="360"/>
      <c r="L31" s="360"/>
      <c r="M31" s="360"/>
      <c r="N31" s="4"/>
    </row>
    <row r="32" spans="1:15" ht="14.4" customHeight="1">
      <c r="A32" s="320" t="s">
        <v>205</v>
      </c>
      <c r="B32" s="321"/>
      <c r="C32" s="320" t="s">
        <v>217</v>
      </c>
      <c r="D32" s="321"/>
      <c r="E32" s="81"/>
      <c r="F32" s="91"/>
      <c r="G32" s="105"/>
      <c r="H32" s="91" t="s">
        <v>434</v>
      </c>
      <c r="I32" s="101"/>
      <c r="J32" s="360"/>
      <c r="K32" s="360"/>
      <c r="L32" s="360"/>
      <c r="M32" s="360"/>
      <c r="N32" s="4"/>
    </row>
    <row r="33" spans="1:14" ht="14.4" customHeight="1">
      <c r="A33" s="320" t="s">
        <v>55</v>
      </c>
      <c r="B33" s="321"/>
      <c r="C33" s="320" t="s">
        <v>105</v>
      </c>
      <c r="D33" s="321"/>
      <c r="E33" s="81"/>
      <c r="F33" s="349" t="s">
        <v>107</v>
      </c>
      <c r="G33" s="351"/>
      <c r="H33" s="85" t="s">
        <v>326</v>
      </c>
      <c r="I33" s="86"/>
      <c r="J33" s="360"/>
      <c r="K33" s="360"/>
      <c r="L33" s="360"/>
      <c r="M33" s="360"/>
      <c r="N33" s="4"/>
    </row>
    <row r="34" spans="1:14" ht="14.4" customHeight="1">
      <c r="A34" s="85" t="s">
        <v>435</v>
      </c>
      <c r="B34" s="99"/>
      <c r="C34" s="85" t="s">
        <v>436</v>
      </c>
      <c r="D34" s="99"/>
      <c r="E34" s="81"/>
      <c r="F34" s="91"/>
      <c r="G34" s="105"/>
      <c r="H34" s="91" t="s">
        <v>327</v>
      </c>
      <c r="I34" s="92"/>
      <c r="J34" s="12"/>
      <c r="K34" s="12"/>
      <c r="L34" s="12"/>
      <c r="M34" s="12"/>
      <c r="N34" s="4"/>
    </row>
    <row r="35" spans="1:14" ht="14.4" customHeight="1">
      <c r="A35" s="91"/>
      <c r="B35" s="101"/>
      <c r="C35" s="91" t="s">
        <v>437</v>
      </c>
      <c r="D35" s="101"/>
      <c r="E35" s="81"/>
      <c r="F35" s="341" t="s">
        <v>161</v>
      </c>
      <c r="G35" s="352"/>
      <c r="H35" s="95" t="s">
        <v>328</v>
      </c>
      <c r="I35" s="96"/>
      <c r="J35" s="360"/>
      <c r="K35" s="360"/>
      <c r="L35" s="360"/>
      <c r="M35" s="360"/>
      <c r="N35" s="4"/>
    </row>
    <row r="36" spans="1:14" ht="14.4" customHeight="1">
      <c r="A36" s="320" t="s">
        <v>176</v>
      </c>
      <c r="B36" s="321"/>
      <c r="C36" s="320" t="s">
        <v>177</v>
      </c>
      <c r="D36" s="321"/>
      <c r="E36" s="81"/>
      <c r="F36" s="91"/>
      <c r="G36" s="105"/>
      <c r="H36" s="91" t="s">
        <v>329</v>
      </c>
      <c r="I36" s="92"/>
      <c r="J36" s="360"/>
      <c r="K36" s="360"/>
      <c r="L36" s="360"/>
      <c r="M36" s="360"/>
      <c r="N36" s="4"/>
    </row>
    <row r="37" spans="1:14" ht="14.4" customHeight="1">
      <c r="A37" s="349" t="s">
        <v>60</v>
      </c>
      <c r="B37" s="350"/>
      <c r="C37" s="112" t="s">
        <v>272</v>
      </c>
      <c r="D37" s="86"/>
      <c r="E37" s="81"/>
      <c r="F37" s="95" t="s">
        <v>162</v>
      </c>
      <c r="G37" s="84"/>
      <c r="H37" s="95" t="s">
        <v>330</v>
      </c>
      <c r="I37" s="96"/>
      <c r="J37" s="12"/>
      <c r="K37" s="12"/>
      <c r="L37" s="12"/>
      <c r="M37" s="12"/>
      <c r="N37" s="4"/>
    </row>
    <row r="38" spans="1:14" ht="14.4" customHeight="1">
      <c r="A38" s="349" t="s">
        <v>185</v>
      </c>
      <c r="B38" s="351"/>
      <c r="C38" s="349" t="s">
        <v>294</v>
      </c>
      <c r="D38" s="350"/>
      <c r="E38" s="81"/>
      <c r="F38" s="91"/>
      <c r="G38" s="100"/>
      <c r="H38" s="339" t="s">
        <v>331</v>
      </c>
      <c r="I38" s="340"/>
      <c r="J38" s="2"/>
      <c r="K38" s="2"/>
      <c r="L38" s="2"/>
      <c r="M38" s="2"/>
      <c r="N38" s="4"/>
    </row>
    <row r="39" spans="1:14" ht="14.4" customHeight="1">
      <c r="A39" s="374"/>
      <c r="B39" s="375"/>
      <c r="C39" s="95" t="s">
        <v>295</v>
      </c>
      <c r="D39" s="97"/>
      <c r="E39" s="81"/>
      <c r="F39" s="95" t="s">
        <v>163</v>
      </c>
      <c r="G39" s="96"/>
      <c r="H39" s="111" t="s">
        <v>332</v>
      </c>
      <c r="I39" s="92"/>
      <c r="J39" s="12"/>
      <c r="K39" s="13"/>
      <c r="L39" s="13"/>
      <c r="M39" s="13"/>
      <c r="N39" s="4"/>
    </row>
    <row r="40" spans="1:14" ht="14.4" customHeight="1">
      <c r="A40" s="113"/>
      <c r="B40" s="114"/>
      <c r="C40" s="91" t="s">
        <v>296</v>
      </c>
      <c r="D40" s="101"/>
      <c r="E40" s="81"/>
      <c r="F40" s="91"/>
      <c r="G40" s="92"/>
      <c r="H40" s="72" t="s">
        <v>333</v>
      </c>
      <c r="I40" s="90"/>
      <c r="J40" s="360"/>
      <c r="K40" s="360"/>
      <c r="L40" s="360"/>
      <c r="M40" s="360"/>
      <c r="N40" s="4"/>
    </row>
    <row r="41" spans="1:14" ht="14.4" customHeight="1">
      <c r="A41" s="341" t="s">
        <v>56</v>
      </c>
      <c r="B41" s="342"/>
      <c r="C41" s="115" t="s">
        <v>106</v>
      </c>
      <c r="D41" s="96"/>
      <c r="E41" s="81"/>
      <c r="F41" s="341" t="s">
        <v>209</v>
      </c>
      <c r="G41" s="342"/>
      <c r="H41" s="320" t="s">
        <v>334</v>
      </c>
      <c r="I41" s="321"/>
    </row>
    <row r="42" spans="1:14" ht="14.4" customHeight="1">
      <c r="A42" s="349" t="s">
        <v>206</v>
      </c>
      <c r="B42" s="351"/>
      <c r="C42" s="349" t="s">
        <v>297</v>
      </c>
      <c r="D42" s="350"/>
      <c r="E42" s="81"/>
      <c r="F42" s="320" t="s">
        <v>173</v>
      </c>
      <c r="G42" s="321"/>
      <c r="H42" s="99" t="s">
        <v>276</v>
      </c>
      <c r="I42" s="116"/>
    </row>
    <row r="43" spans="1:14" ht="14.4" customHeight="1">
      <c r="A43" s="91"/>
      <c r="B43" s="105"/>
      <c r="C43" s="91" t="s">
        <v>298</v>
      </c>
      <c r="D43" s="101"/>
      <c r="E43" s="81"/>
      <c r="F43" s="341" t="s">
        <v>228</v>
      </c>
      <c r="G43" s="352"/>
      <c r="H43" s="85" t="s">
        <v>335</v>
      </c>
      <c r="I43" s="86"/>
    </row>
    <row r="44" spans="1:14" ht="14.4" customHeight="1">
      <c r="A44" s="341" t="s">
        <v>438</v>
      </c>
      <c r="B44" s="352"/>
      <c r="C44" s="341" t="s">
        <v>299</v>
      </c>
      <c r="D44" s="342"/>
      <c r="E44" s="81"/>
      <c r="F44" s="91"/>
      <c r="G44" s="105"/>
      <c r="H44" s="91" t="s">
        <v>336</v>
      </c>
      <c r="I44" s="92"/>
    </row>
    <row r="45" spans="1:14" ht="14.4" customHeight="1">
      <c r="A45" s="95"/>
      <c r="B45" s="104"/>
      <c r="C45" s="95" t="s">
        <v>300</v>
      </c>
      <c r="D45" s="97"/>
      <c r="E45" s="81"/>
      <c r="F45" s="378" t="s">
        <v>11</v>
      </c>
      <c r="G45" s="369"/>
      <c r="H45" s="369"/>
      <c r="I45" s="379"/>
    </row>
    <row r="46" spans="1:14" ht="14.25" customHeight="1">
      <c r="A46" s="95"/>
      <c r="B46" s="104"/>
      <c r="C46" s="95" t="s">
        <v>301</v>
      </c>
      <c r="D46" s="97"/>
      <c r="E46" s="81"/>
      <c r="F46" s="320" t="s">
        <v>14</v>
      </c>
      <c r="G46" s="321"/>
      <c r="H46" s="326" t="s">
        <v>79</v>
      </c>
      <c r="I46" s="327"/>
    </row>
    <row r="47" spans="1:14" ht="14.25" customHeight="1">
      <c r="A47" s="87" t="s">
        <v>439</v>
      </c>
      <c r="B47" s="117"/>
      <c r="C47" s="349" t="s">
        <v>302</v>
      </c>
      <c r="D47" s="350"/>
      <c r="E47" s="81"/>
      <c r="F47" s="320" t="s">
        <v>12</v>
      </c>
      <c r="G47" s="321"/>
      <c r="H47" s="326" t="s">
        <v>77</v>
      </c>
      <c r="I47" s="327"/>
    </row>
    <row r="48" spans="1:14" ht="14.25" customHeight="1">
      <c r="A48" s="95"/>
      <c r="B48" s="104"/>
      <c r="C48" s="95" t="s">
        <v>303</v>
      </c>
      <c r="D48" s="97"/>
      <c r="E48" s="81"/>
      <c r="F48" s="320" t="s">
        <v>13</v>
      </c>
      <c r="G48" s="321"/>
      <c r="H48" s="326" t="s">
        <v>78</v>
      </c>
      <c r="I48" s="327"/>
    </row>
    <row r="49" spans="1:14" ht="14.25" customHeight="1">
      <c r="A49" s="95"/>
      <c r="B49" s="104"/>
      <c r="C49" s="95" t="s">
        <v>304</v>
      </c>
      <c r="D49" s="97"/>
      <c r="E49" s="81"/>
      <c r="F49" s="320" t="s">
        <v>15</v>
      </c>
      <c r="G49" s="321"/>
      <c r="H49" s="326" t="s">
        <v>80</v>
      </c>
      <c r="I49" s="327"/>
    </row>
    <row r="50" spans="1:14" ht="14.25" customHeight="1">
      <c r="A50" s="349" t="s">
        <v>440</v>
      </c>
      <c r="B50" s="351"/>
      <c r="C50" s="85" t="s">
        <v>305</v>
      </c>
      <c r="D50" s="99"/>
      <c r="E50" s="81"/>
      <c r="F50" s="320" t="s">
        <v>17</v>
      </c>
      <c r="G50" s="321"/>
      <c r="H50" s="326" t="s">
        <v>82</v>
      </c>
      <c r="I50" s="327"/>
    </row>
    <row r="51" spans="1:14" ht="14.25" customHeight="1">
      <c r="A51" s="37"/>
      <c r="B51" s="104"/>
      <c r="C51" s="95" t="s">
        <v>306</v>
      </c>
      <c r="D51" s="97"/>
      <c r="E51" s="81"/>
      <c r="F51" s="320" t="s">
        <v>16</v>
      </c>
      <c r="G51" s="321"/>
      <c r="H51" s="326" t="s">
        <v>81</v>
      </c>
      <c r="I51" s="327"/>
    </row>
    <row r="52" spans="1:14" ht="14.25" customHeight="1">
      <c r="A52" s="95"/>
      <c r="B52" s="104"/>
      <c r="C52" s="95" t="s">
        <v>307</v>
      </c>
      <c r="D52" s="97"/>
      <c r="E52" s="81"/>
      <c r="F52" s="320" t="s">
        <v>225</v>
      </c>
      <c r="G52" s="321"/>
      <c r="H52" s="326" t="s">
        <v>229</v>
      </c>
      <c r="I52" s="327"/>
    </row>
    <row r="53" spans="1:14" ht="14.25" customHeight="1">
      <c r="A53" s="95"/>
      <c r="B53" s="104"/>
      <c r="C53" s="95" t="s">
        <v>308</v>
      </c>
      <c r="D53" s="97"/>
      <c r="E53" s="81"/>
      <c r="F53" s="320" t="s">
        <v>19</v>
      </c>
      <c r="G53" s="321"/>
      <c r="H53" s="326" t="s">
        <v>84</v>
      </c>
      <c r="I53" s="327"/>
    </row>
    <row r="54" spans="1:14" ht="14.25" customHeight="1">
      <c r="A54" s="85" t="s">
        <v>441</v>
      </c>
      <c r="B54" s="106"/>
      <c r="C54" s="85" t="s">
        <v>313</v>
      </c>
      <c r="D54" s="99"/>
      <c r="E54" s="81"/>
      <c r="F54" s="320" t="s">
        <v>20</v>
      </c>
      <c r="G54" s="321"/>
      <c r="H54" s="326" t="s">
        <v>85</v>
      </c>
      <c r="I54" s="327"/>
    </row>
    <row r="55" spans="1:14" ht="14.25" customHeight="1">
      <c r="A55" s="37"/>
      <c r="B55" s="104"/>
      <c r="C55" s="95" t="s">
        <v>309</v>
      </c>
      <c r="D55" s="97"/>
      <c r="E55" s="81"/>
      <c r="F55" s="320" t="s">
        <v>18</v>
      </c>
      <c r="G55" s="321"/>
      <c r="H55" s="326" t="s">
        <v>83</v>
      </c>
      <c r="I55" s="327"/>
    </row>
    <row r="56" spans="1:14" ht="14.25" customHeight="1">
      <c r="A56" s="95"/>
      <c r="B56" s="104"/>
      <c r="C56" s="91" t="s">
        <v>310</v>
      </c>
      <c r="D56" s="101"/>
      <c r="E56" s="118"/>
      <c r="F56" s="320" t="s">
        <v>21</v>
      </c>
      <c r="G56" s="321"/>
      <c r="H56" s="326" t="s">
        <v>279</v>
      </c>
      <c r="I56" s="327"/>
    </row>
    <row r="57" spans="1:14" ht="14.25" customHeight="1">
      <c r="A57" s="349" t="s">
        <v>178</v>
      </c>
      <c r="B57" s="350"/>
      <c r="C57" s="352" t="s">
        <v>311</v>
      </c>
      <c r="D57" s="342"/>
      <c r="E57" s="118"/>
      <c r="F57" s="320" t="s">
        <v>23</v>
      </c>
      <c r="G57" s="321"/>
      <c r="H57" s="326" t="s">
        <v>87</v>
      </c>
      <c r="I57" s="327"/>
    </row>
    <row r="58" spans="1:14" ht="14.25" customHeight="1">
      <c r="A58" s="91"/>
      <c r="B58" s="101"/>
      <c r="C58" s="104" t="s">
        <v>312</v>
      </c>
      <c r="D58" s="97"/>
      <c r="E58" s="22"/>
      <c r="F58" s="347" t="s">
        <v>112</v>
      </c>
      <c r="G58" s="348"/>
      <c r="H58" s="318" t="s">
        <v>114</v>
      </c>
      <c r="I58" s="319"/>
    </row>
    <row r="59" spans="1:14" ht="14.25" customHeight="1">
      <c r="A59" s="341" t="s">
        <v>183</v>
      </c>
      <c r="B59" s="331"/>
      <c r="C59" s="87" t="s">
        <v>314</v>
      </c>
      <c r="D59" s="88"/>
      <c r="E59" s="23"/>
      <c r="F59" s="320" t="s">
        <v>24</v>
      </c>
      <c r="G59" s="321"/>
      <c r="H59" s="326" t="s">
        <v>88</v>
      </c>
      <c r="I59" s="327"/>
      <c r="J59" s="27"/>
      <c r="K59" s="27"/>
      <c r="L59" s="27"/>
      <c r="M59" s="27"/>
      <c r="N59" s="18"/>
    </row>
    <row r="60" spans="1:14" ht="14.25" customHeight="1">
      <c r="A60" s="339"/>
      <c r="B60" s="340"/>
      <c r="C60" s="93" t="s">
        <v>315</v>
      </c>
      <c r="D60" s="94"/>
      <c r="E60" s="17"/>
      <c r="F60" s="349" t="s">
        <v>22</v>
      </c>
      <c r="G60" s="350"/>
      <c r="H60" s="322" t="s">
        <v>86</v>
      </c>
      <c r="I60" s="323"/>
      <c r="J60" s="28"/>
      <c r="K60" s="28"/>
      <c r="L60" s="28"/>
      <c r="M60" s="28"/>
      <c r="N60" s="18"/>
    </row>
    <row r="61" spans="1:14" ht="14.25" customHeight="1">
      <c r="A61" s="349" t="s">
        <v>184</v>
      </c>
      <c r="B61" s="350"/>
      <c r="C61" s="87" t="s">
        <v>442</v>
      </c>
      <c r="D61" s="88"/>
      <c r="E61" s="17"/>
      <c r="F61" s="349" t="s">
        <v>348</v>
      </c>
      <c r="G61" s="351"/>
      <c r="H61" s="322" t="s">
        <v>357</v>
      </c>
      <c r="I61" s="323"/>
      <c r="J61" s="19"/>
      <c r="K61" s="19"/>
      <c r="L61" s="19"/>
      <c r="M61" s="19"/>
      <c r="N61" s="18"/>
    </row>
    <row r="62" spans="1:14" ht="14.25" customHeight="1">
      <c r="A62" s="376"/>
      <c r="B62" s="377"/>
      <c r="C62" s="339" t="s">
        <v>322</v>
      </c>
      <c r="D62" s="340"/>
      <c r="E62" s="17"/>
      <c r="F62" s="91" t="s">
        <v>349</v>
      </c>
      <c r="G62" s="105"/>
      <c r="H62" s="93" t="s">
        <v>350</v>
      </c>
      <c r="I62" s="94"/>
      <c r="J62" s="19"/>
      <c r="K62" s="19"/>
      <c r="L62" s="19"/>
      <c r="M62" s="19"/>
      <c r="N62" s="18"/>
    </row>
    <row r="63" spans="1:14" ht="14.25" customHeight="1">
      <c r="A63" s="349" t="s">
        <v>397</v>
      </c>
      <c r="B63" s="329"/>
      <c r="C63" s="87" t="s">
        <v>316</v>
      </c>
      <c r="D63" s="88"/>
      <c r="E63" s="21"/>
      <c r="F63" s="341" t="s">
        <v>126</v>
      </c>
      <c r="G63" s="342"/>
      <c r="H63" s="358" t="s">
        <v>355</v>
      </c>
      <c r="I63" s="359"/>
      <c r="J63" s="19"/>
      <c r="K63" s="19"/>
      <c r="L63" s="19"/>
      <c r="M63" s="19"/>
      <c r="N63" s="18"/>
    </row>
    <row r="64" spans="1:14" ht="18" customHeight="1">
      <c r="A64" s="95"/>
      <c r="B64" s="96"/>
      <c r="C64" s="102" t="s">
        <v>317</v>
      </c>
      <c r="D64" s="103"/>
      <c r="E64" s="21"/>
      <c r="F64" s="324"/>
      <c r="G64" s="325"/>
      <c r="H64" s="324" t="s">
        <v>356</v>
      </c>
      <c r="I64" s="325"/>
      <c r="J64" s="19"/>
      <c r="K64" s="19"/>
      <c r="L64" s="19"/>
      <c r="M64" s="19"/>
      <c r="N64" s="18"/>
    </row>
    <row r="65" spans="1:15" ht="13.5" customHeight="1">
      <c r="A65" s="91"/>
      <c r="B65" s="92"/>
      <c r="C65" s="93" t="s">
        <v>318</v>
      </c>
      <c r="D65" s="94"/>
      <c r="E65" s="21"/>
      <c r="J65" s="19"/>
      <c r="K65" s="19"/>
      <c r="L65" s="19"/>
      <c r="M65" s="19"/>
      <c r="N65" s="18"/>
    </row>
    <row r="66" spans="1:15" ht="13.5" customHeight="1">
      <c r="A66" s="104"/>
      <c r="B66" s="84"/>
      <c r="C66" s="138"/>
      <c r="D66" s="138"/>
      <c r="E66" s="21"/>
      <c r="J66" s="19"/>
      <c r="K66" s="19"/>
      <c r="L66" s="19"/>
      <c r="M66" s="19"/>
      <c r="N66" s="18"/>
    </row>
    <row r="67" spans="1:15" ht="13.5" customHeight="1">
      <c r="A67" s="104"/>
      <c r="B67" s="84"/>
      <c r="C67" s="138"/>
      <c r="D67" s="138"/>
      <c r="E67" s="21"/>
      <c r="J67" s="19"/>
      <c r="K67" s="19"/>
      <c r="L67" s="19"/>
      <c r="M67" s="19"/>
      <c r="N67" s="18"/>
    </row>
    <row r="68" spans="1:15" ht="18" customHeight="1">
      <c r="A68" s="345" t="s">
        <v>472</v>
      </c>
      <c r="B68" s="345"/>
      <c r="C68" s="345"/>
      <c r="D68" s="345"/>
      <c r="E68" s="345"/>
      <c r="F68" s="345"/>
      <c r="G68" s="345"/>
      <c r="H68" s="345"/>
      <c r="I68" s="345"/>
      <c r="J68" s="19"/>
      <c r="K68" s="19"/>
      <c r="L68" s="19"/>
      <c r="M68" s="19"/>
      <c r="N68" s="18"/>
    </row>
    <row r="69" spans="1:15" ht="14.25" customHeight="1">
      <c r="A69" s="34" t="s">
        <v>0</v>
      </c>
      <c r="B69" s="35"/>
      <c r="C69" s="35"/>
      <c r="D69" s="35"/>
      <c r="E69" s="84"/>
      <c r="F69" s="42" t="s">
        <v>123</v>
      </c>
      <c r="G69" s="43"/>
      <c r="H69" s="43"/>
      <c r="I69" s="43"/>
      <c r="J69" s="19"/>
      <c r="K69" s="19"/>
      <c r="L69" s="19"/>
      <c r="M69" s="19"/>
      <c r="N69" s="18"/>
    </row>
    <row r="70" spans="1:15" ht="14.25" customHeight="1">
      <c r="A70" s="320" t="s">
        <v>3</v>
      </c>
      <c r="B70" s="321"/>
      <c r="C70" s="326" t="s">
        <v>69</v>
      </c>
      <c r="D70" s="327"/>
      <c r="E70" s="84"/>
      <c r="F70" s="347" t="s">
        <v>124</v>
      </c>
      <c r="G70" s="348"/>
      <c r="H70" s="336" t="s">
        <v>443</v>
      </c>
      <c r="I70" s="327"/>
      <c r="J70" s="29"/>
      <c r="K70" s="29"/>
      <c r="L70" s="29"/>
      <c r="M70" s="29"/>
      <c r="N70" s="29"/>
    </row>
    <row r="71" spans="1:15" ht="14.25" customHeight="1">
      <c r="A71" s="320" t="s">
        <v>4</v>
      </c>
      <c r="B71" s="321"/>
      <c r="C71" s="326" t="s">
        <v>70</v>
      </c>
      <c r="D71" s="327"/>
      <c r="E71" s="81"/>
      <c r="F71" s="44" t="s">
        <v>26</v>
      </c>
      <c r="G71" s="45"/>
      <c r="H71" s="45"/>
      <c r="I71" s="45"/>
    </row>
    <row r="72" spans="1:15" ht="14.25" customHeight="1">
      <c r="A72" s="320" t="s">
        <v>5</v>
      </c>
      <c r="B72" s="321"/>
      <c r="C72" s="326" t="s">
        <v>71</v>
      </c>
      <c r="D72" s="327"/>
      <c r="E72" s="81"/>
      <c r="F72" s="332" t="s">
        <v>27</v>
      </c>
      <c r="G72" s="333"/>
      <c r="H72" s="332" t="s">
        <v>97</v>
      </c>
      <c r="I72" s="333"/>
    </row>
    <row r="73" spans="1:15" ht="14.25" customHeight="1">
      <c r="A73" s="320" t="s">
        <v>444</v>
      </c>
      <c r="B73" s="321"/>
      <c r="C73" s="326" t="s">
        <v>258</v>
      </c>
      <c r="D73" s="327"/>
      <c r="E73" s="81"/>
      <c r="F73" s="332" t="s">
        <v>181</v>
      </c>
      <c r="G73" s="333"/>
      <c r="H73" s="332" t="s">
        <v>182</v>
      </c>
      <c r="I73" s="333"/>
    </row>
    <row r="74" spans="1:15" ht="14.4" customHeight="1">
      <c r="A74" s="320" t="s">
        <v>445</v>
      </c>
      <c r="B74" s="321"/>
      <c r="C74" s="326" t="s">
        <v>259</v>
      </c>
      <c r="D74" s="327"/>
      <c r="E74" s="81"/>
      <c r="F74" s="332" t="s">
        <v>28</v>
      </c>
      <c r="G74" s="333"/>
      <c r="H74" s="332" t="s">
        <v>98</v>
      </c>
      <c r="I74" s="333"/>
    </row>
    <row r="75" spans="1:15" ht="14.4" customHeight="1">
      <c r="A75" s="320" t="s">
        <v>6</v>
      </c>
      <c r="B75" s="321"/>
      <c r="C75" s="326" t="s">
        <v>72</v>
      </c>
      <c r="D75" s="327"/>
      <c r="E75" s="81"/>
      <c r="F75" s="332" t="s">
        <v>29</v>
      </c>
      <c r="G75" s="333"/>
      <c r="H75" s="326" t="s">
        <v>281</v>
      </c>
      <c r="I75" s="327"/>
    </row>
    <row r="76" spans="1:15" ht="14.4" customHeight="1">
      <c r="A76" s="320" t="s">
        <v>8</v>
      </c>
      <c r="B76" s="321"/>
      <c r="C76" s="326" t="s">
        <v>74</v>
      </c>
      <c r="D76" s="327"/>
      <c r="E76" s="81"/>
      <c r="F76" s="332" t="s">
        <v>160</v>
      </c>
      <c r="G76" s="333"/>
      <c r="H76" s="332" t="s">
        <v>167</v>
      </c>
      <c r="I76" s="333"/>
    </row>
    <row r="77" spans="1:15" ht="14.4" customHeight="1">
      <c r="A77" s="320" t="s">
        <v>9</v>
      </c>
      <c r="B77" s="321"/>
      <c r="C77" s="326" t="s">
        <v>75</v>
      </c>
      <c r="D77" s="327"/>
      <c r="E77" s="81"/>
      <c r="F77" s="334" t="s">
        <v>203</v>
      </c>
      <c r="G77" s="335"/>
      <c r="H77" s="334" t="s">
        <v>222</v>
      </c>
      <c r="I77" s="335"/>
      <c r="J77" s="366"/>
      <c r="K77" s="367"/>
      <c r="L77" s="367"/>
      <c r="M77" s="367"/>
      <c r="N77" s="367"/>
      <c r="O77" s="367"/>
    </row>
    <row r="78" spans="1:15" ht="14.4" customHeight="1">
      <c r="A78" s="320" t="s">
        <v>7</v>
      </c>
      <c r="B78" s="321"/>
      <c r="C78" s="326" t="s">
        <v>73</v>
      </c>
      <c r="D78" s="327"/>
      <c r="E78" s="81"/>
      <c r="F78" s="121" t="s">
        <v>446</v>
      </c>
      <c r="G78" s="122"/>
      <c r="H78" s="121" t="s">
        <v>447</v>
      </c>
      <c r="I78" s="122"/>
      <c r="J78" s="4"/>
      <c r="K78" s="4"/>
      <c r="L78" s="4"/>
      <c r="M78" s="2"/>
      <c r="N78" s="2"/>
      <c r="O78" s="2"/>
    </row>
    <row r="79" spans="1:15" ht="14.4" customHeight="1">
      <c r="A79" s="320" t="s">
        <v>10</v>
      </c>
      <c r="B79" s="321"/>
      <c r="C79" s="326" t="s">
        <v>76</v>
      </c>
      <c r="D79" s="327"/>
      <c r="E79" s="81"/>
      <c r="F79" s="123" t="s">
        <v>448</v>
      </c>
      <c r="G79" s="124"/>
      <c r="H79" s="123" t="s">
        <v>449</v>
      </c>
      <c r="I79" s="124"/>
      <c r="J79" s="4"/>
      <c r="K79" s="4"/>
      <c r="L79" s="4"/>
      <c r="M79" s="2"/>
      <c r="N79" s="2"/>
      <c r="O79" s="2"/>
    </row>
    <row r="80" spans="1:15" ht="14.4" customHeight="1">
      <c r="A80" s="320" t="s">
        <v>144</v>
      </c>
      <c r="B80" s="321"/>
      <c r="C80" s="326" t="s">
        <v>351</v>
      </c>
      <c r="D80" s="327"/>
      <c r="E80" s="81"/>
      <c r="F80" s="368" t="s">
        <v>450</v>
      </c>
      <c r="G80" s="369"/>
      <c r="H80" s="369"/>
      <c r="I80" s="370"/>
      <c r="N80" s="2"/>
      <c r="O80" s="2"/>
    </row>
    <row r="81" spans="1:15" ht="14.4" customHeight="1">
      <c r="A81" s="320" t="s">
        <v>145</v>
      </c>
      <c r="B81" s="321"/>
      <c r="C81" s="326" t="s">
        <v>280</v>
      </c>
      <c r="D81" s="327"/>
      <c r="E81" s="81"/>
      <c r="F81" s="318" t="s">
        <v>120</v>
      </c>
      <c r="G81" s="319"/>
      <c r="H81" s="318" t="s">
        <v>137</v>
      </c>
      <c r="I81" s="319"/>
      <c r="N81" s="4"/>
      <c r="O81" s="4"/>
    </row>
    <row r="82" spans="1:15" ht="14.4" customHeight="1">
      <c r="A82" s="320" t="s">
        <v>118</v>
      </c>
      <c r="B82" s="321"/>
      <c r="C82" s="326" t="s">
        <v>211</v>
      </c>
      <c r="D82" s="327"/>
      <c r="E82" s="81"/>
      <c r="F82" s="326" t="s">
        <v>121</v>
      </c>
      <c r="G82" s="327"/>
      <c r="H82" s="326" t="s">
        <v>89</v>
      </c>
      <c r="I82" s="327"/>
    </row>
    <row r="83" spans="1:15" ht="14.4" customHeight="1">
      <c r="A83" s="320" t="s">
        <v>117</v>
      </c>
      <c r="B83" s="321"/>
      <c r="C83" s="326" t="s">
        <v>136</v>
      </c>
      <c r="D83" s="327"/>
      <c r="E83" s="81"/>
      <c r="F83" s="326" t="s">
        <v>219</v>
      </c>
      <c r="G83" s="327"/>
      <c r="H83" s="326" t="s">
        <v>223</v>
      </c>
      <c r="I83" s="327"/>
    </row>
    <row r="84" spans="1:15">
      <c r="A84" s="40" t="s">
        <v>134</v>
      </c>
      <c r="B84" s="41"/>
      <c r="C84" s="35"/>
      <c r="D84" s="36"/>
      <c r="E84" s="81"/>
      <c r="F84" s="322" t="s">
        <v>451</v>
      </c>
      <c r="G84" s="323"/>
      <c r="H84" s="322" t="s">
        <v>257</v>
      </c>
      <c r="I84" s="323"/>
    </row>
    <row r="85" spans="1:15" ht="14.25" customHeight="1">
      <c r="A85" s="326" t="s">
        <v>30</v>
      </c>
      <c r="B85" s="327"/>
      <c r="C85" s="326" t="s">
        <v>91</v>
      </c>
      <c r="D85" s="327"/>
      <c r="E85" s="81"/>
      <c r="F85" s="322" t="s">
        <v>201</v>
      </c>
      <c r="G85" s="346"/>
      <c r="H85" s="322" t="s">
        <v>353</v>
      </c>
      <c r="I85" s="323"/>
    </row>
    <row r="86" spans="1:15">
      <c r="A86" s="326" t="s">
        <v>31</v>
      </c>
      <c r="B86" s="327"/>
      <c r="C86" s="326" t="s">
        <v>92</v>
      </c>
      <c r="D86" s="327"/>
      <c r="E86" s="81"/>
      <c r="F86" s="93"/>
      <c r="G86" s="125"/>
      <c r="H86" s="93" t="s">
        <v>262</v>
      </c>
      <c r="I86" s="94"/>
    </row>
    <row r="87" spans="1:15">
      <c r="A87" s="326" t="s">
        <v>191</v>
      </c>
      <c r="B87" s="327"/>
      <c r="C87" s="326" t="s">
        <v>196</v>
      </c>
      <c r="D87" s="327"/>
      <c r="E87" s="81"/>
      <c r="F87" s="324" t="s">
        <v>122</v>
      </c>
      <c r="G87" s="325"/>
      <c r="H87" s="324" t="s">
        <v>132</v>
      </c>
      <c r="I87" s="325"/>
    </row>
    <row r="88" spans="1:15">
      <c r="A88" s="326" t="s">
        <v>192</v>
      </c>
      <c r="B88" s="327"/>
      <c r="C88" s="326" t="s">
        <v>197</v>
      </c>
      <c r="D88" s="327"/>
      <c r="E88" s="81"/>
      <c r="F88" s="326" t="s">
        <v>352</v>
      </c>
      <c r="G88" s="327"/>
      <c r="H88" s="326" t="s">
        <v>90</v>
      </c>
      <c r="I88" s="327"/>
    </row>
    <row r="89" spans="1:15">
      <c r="A89" s="320" t="s">
        <v>32</v>
      </c>
      <c r="B89" s="321"/>
      <c r="C89" s="326" t="s">
        <v>93</v>
      </c>
      <c r="D89" s="327"/>
      <c r="E89" s="81"/>
      <c r="F89" s="328" t="s">
        <v>212</v>
      </c>
      <c r="G89" s="329"/>
      <c r="H89" s="328" t="s">
        <v>224</v>
      </c>
      <c r="I89" s="329"/>
    </row>
    <row r="90" spans="1:15">
      <c r="A90" s="326" t="s">
        <v>33</v>
      </c>
      <c r="B90" s="327"/>
      <c r="C90" s="326" t="s">
        <v>94</v>
      </c>
      <c r="D90" s="327"/>
      <c r="E90" s="81"/>
      <c r="F90" s="119" t="s">
        <v>452</v>
      </c>
      <c r="G90" s="90"/>
      <c r="H90" s="119" t="s">
        <v>453</v>
      </c>
      <c r="I90" s="90"/>
    </row>
    <row r="91" spans="1:15">
      <c r="A91" s="326" t="s">
        <v>34</v>
      </c>
      <c r="B91" s="327"/>
      <c r="C91" s="326" t="s">
        <v>95</v>
      </c>
      <c r="D91" s="327"/>
      <c r="E91" s="81"/>
      <c r="F91" s="126" t="s">
        <v>454</v>
      </c>
      <c r="G91" s="86"/>
      <c r="H91" s="126" t="s">
        <v>455</v>
      </c>
      <c r="I91" s="86"/>
    </row>
    <row r="92" spans="1:15">
      <c r="A92" s="326" t="s">
        <v>35</v>
      </c>
      <c r="B92" s="327"/>
      <c r="C92" s="326" t="s">
        <v>96</v>
      </c>
      <c r="D92" s="327"/>
      <c r="E92" s="81"/>
      <c r="F92" s="120" t="s">
        <v>456</v>
      </c>
      <c r="G92" s="92"/>
      <c r="H92" s="120" t="s">
        <v>457</v>
      </c>
      <c r="I92" s="92"/>
    </row>
    <row r="93" spans="1:15">
      <c r="A93" s="358" t="s">
        <v>405</v>
      </c>
      <c r="B93" s="359"/>
      <c r="C93" s="358" t="s">
        <v>458</v>
      </c>
      <c r="D93" s="359"/>
      <c r="E93" s="81"/>
      <c r="F93" s="368" t="s">
        <v>127</v>
      </c>
      <c r="G93" s="369"/>
      <c r="H93" s="369"/>
      <c r="I93" s="370"/>
    </row>
    <row r="94" spans="1:15">
      <c r="A94" s="358"/>
      <c r="B94" s="359"/>
      <c r="C94" s="358" t="s">
        <v>459</v>
      </c>
      <c r="D94" s="359"/>
      <c r="E94" s="81"/>
      <c r="F94" s="318" t="s">
        <v>164</v>
      </c>
      <c r="G94" s="319"/>
      <c r="H94" s="318" t="s">
        <v>169</v>
      </c>
      <c r="I94" s="319"/>
    </row>
    <row r="95" spans="1:15">
      <c r="A95" s="328" t="s">
        <v>36</v>
      </c>
      <c r="B95" s="329"/>
      <c r="C95" s="322" t="s">
        <v>460</v>
      </c>
      <c r="D95" s="323"/>
      <c r="E95" s="81"/>
      <c r="F95" s="318" t="s">
        <v>165</v>
      </c>
      <c r="G95" s="319"/>
      <c r="H95" s="318" t="s">
        <v>170</v>
      </c>
      <c r="I95" s="319"/>
    </row>
    <row r="96" spans="1:15">
      <c r="A96" s="322" t="s">
        <v>461</v>
      </c>
      <c r="B96" s="323"/>
      <c r="C96" s="322" t="s">
        <v>462</v>
      </c>
      <c r="D96" s="323"/>
      <c r="E96" s="81"/>
      <c r="F96" s="318" t="s">
        <v>166</v>
      </c>
      <c r="G96" s="319"/>
      <c r="H96" s="318" t="s">
        <v>147</v>
      </c>
      <c r="I96" s="319"/>
    </row>
    <row r="97" spans="1:14">
      <c r="A97" s="358"/>
      <c r="B97" s="359"/>
      <c r="C97" s="358" t="s">
        <v>463</v>
      </c>
      <c r="D97" s="359"/>
      <c r="E97" s="81"/>
      <c r="F97" s="318" t="s">
        <v>149</v>
      </c>
      <c r="G97" s="319"/>
      <c r="H97" s="318" t="s">
        <v>147</v>
      </c>
      <c r="I97" s="319"/>
    </row>
    <row r="98" spans="1:14">
      <c r="A98" s="328" t="s">
        <v>407</v>
      </c>
      <c r="B98" s="355"/>
      <c r="C98" s="322" t="s">
        <v>346</v>
      </c>
      <c r="D98" s="323"/>
      <c r="E98" s="81"/>
      <c r="F98" s="318" t="s">
        <v>189</v>
      </c>
      <c r="G98" s="319"/>
      <c r="H98" s="318" t="s">
        <v>147</v>
      </c>
      <c r="I98" s="319"/>
    </row>
    <row r="99" spans="1:14">
      <c r="A99" s="356"/>
      <c r="B99" s="357"/>
      <c r="C99" s="380" t="s">
        <v>347</v>
      </c>
      <c r="D99" s="381"/>
      <c r="E99" s="81"/>
      <c r="F99" s="318" t="s">
        <v>190</v>
      </c>
      <c r="G99" s="319"/>
      <c r="H99" s="318" t="s">
        <v>147</v>
      </c>
      <c r="I99" s="319"/>
    </row>
    <row r="100" spans="1:14">
      <c r="A100" s="361" t="s">
        <v>38</v>
      </c>
      <c r="B100" s="362"/>
      <c r="C100" s="362"/>
      <c r="D100" s="363"/>
      <c r="E100" s="81"/>
      <c r="F100" s="318" t="s">
        <v>146</v>
      </c>
      <c r="G100" s="319"/>
      <c r="H100" s="318" t="s">
        <v>147</v>
      </c>
      <c r="I100" s="319"/>
    </row>
    <row r="101" spans="1:14">
      <c r="A101" s="349" t="s">
        <v>42</v>
      </c>
      <c r="B101" s="350"/>
      <c r="C101" s="106" t="s">
        <v>337</v>
      </c>
      <c r="D101" s="127"/>
      <c r="E101" s="81"/>
      <c r="F101" s="318" t="s">
        <v>150</v>
      </c>
      <c r="G101" s="319"/>
      <c r="H101" s="318" t="s">
        <v>171</v>
      </c>
      <c r="I101" s="319"/>
      <c r="J101" s="30"/>
      <c r="K101" s="30"/>
      <c r="L101" s="30"/>
      <c r="M101" s="30"/>
      <c r="N101" s="4"/>
    </row>
    <row r="102" spans="1:14">
      <c r="A102" s="91"/>
      <c r="B102" s="101"/>
      <c r="C102" s="105" t="s">
        <v>262</v>
      </c>
      <c r="D102" s="128"/>
      <c r="E102" s="81"/>
      <c r="F102" s="318" t="s">
        <v>187</v>
      </c>
      <c r="G102" s="319"/>
      <c r="H102" s="318" t="s">
        <v>171</v>
      </c>
      <c r="I102" s="319"/>
      <c r="J102" s="4"/>
      <c r="K102" s="12"/>
      <c r="L102" s="12"/>
      <c r="M102" s="12"/>
      <c r="N102" s="4"/>
    </row>
    <row r="103" spans="1:14">
      <c r="A103" s="91" t="s">
        <v>464</v>
      </c>
      <c r="B103" s="101"/>
      <c r="C103" s="105" t="s">
        <v>465</v>
      </c>
      <c r="D103" s="128"/>
      <c r="E103" s="81"/>
      <c r="F103" s="318" t="s">
        <v>151</v>
      </c>
      <c r="G103" s="319"/>
      <c r="H103" s="318" t="s">
        <v>155</v>
      </c>
      <c r="I103" s="319"/>
      <c r="J103" s="31"/>
      <c r="K103" s="31"/>
      <c r="L103" s="31"/>
      <c r="M103" s="31"/>
      <c r="N103" s="4"/>
    </row>
    <row r="104" spans="1:14">
      <c r="A104" s="91" t="s">
        <v>466</v>
      </c>
      <c r="B104" s="101"/>
      <c r="C104" s="105" t="s">
        <v>467</v>
      </c>
      <c r="D104" s="128"/>
      <c r="E104" s="81"/>
      <c r="F104" s="318" t="s">
        <v>188</v>
      </c>
      <c r="G104" s="319"/>
      <c r="H104" s="318" t="s">
        <v>155</v>
      </c>
      <c r="I104" s="319"/>
      <c r="J104" s="4"/>
      <c r="K104" s="12"/>
      <c r="L104" s="12"/>
      <c r="M104" s="12"/>
      <c r="N104" s="4"/>
    </row>
    <row r="105" spans="1:14">
      <c r="A105" s="72" t="s">
        <v>43</v>
      </c>
      <c r="B105" s="90"/>
      <c r="C105" s="320" t="s">
        <v>101</v>
      </c>
      <c r="D105" s="321"/>
      <c r="E105" s="81"/>
      <c r="F105" s="318" t="s">
        <v>401</v>
      </c>
      <c r="G105" s="319"/>
      <c r="H105" s="318" t="s">
        <v>255</v>
      </c>
      <c r="I105" s="319"/>
      <c r="J105" s="4"/>
      <c r="K105" s="12"/>
      <c r="L105" s="12"/>
      <c r="M105" s="12"/>
      <c r="N105" s="4"/>
    </row>
    <row r="106" spans="1:14">
      <c r="A106" s="320" t="s">
        <v>44</v>
      </c>
      <c r="B106" s="321"/>
      <c r="C106" s="129" t="s">
        <v>277</v>
      </c>
      <c r="D106" s="130"/>
      <c r="E106" s="81"/>
      <c r="F106" s="318" t="s">
        <v>152</v>
      </c>
      <c r="G106" s="319"/>
      <c r="H106" s="318" t="s">
        <v>154</v>
      </c>
      <c r="I106" s="319"/>
      <c r="J106" s="4"/>
      <c r="K106" s="12"/>
      <c r="L106" s="12"/>
      <c r="M106" s="12"/>
      <c r="N106" s="4"/>
    </row>
    <row r="107" spans="1:14">
      <c r="A107" s="111" t="s">
        <v>39</v>
      </c>
      <c r="B107" s="92"/>
      <c r="C107" s="320" t="s">
        <v>99</v>
      </c>
      <c r="D107" s="321"/>
      <c r="E107" s="81"/>
      <c r="F107" s="126" t="s">
        <v>468</v>
      </c>
      <c r="G107" s="86"/>
      <c r="H107" s="126" t="s">
        <v>171</v>
      </c>
      <c r="I107" s="86"/>
      <c r="J107" s="4"/>
      <c r="K107" s="12"/>
      <c r="L107" s="12"/>
      <c r="M107" s="12"/>
      <c r="N107" s="4"/>
    </row>
    <row r="108" spans="1:14">
      <c r="A108" s="72" t="s">
        <v>40</v>
      </c>
      <c r="B108" s="90"/>
      <c r="C108" s="320" t="s">
        <v>153</v>
      </c>
      <c r="D108" s="321"/>
      <c r="E108" s="81"/>
      <c r="F108" s="343" t="s">
        <v>469</v>
      </c>
      <c r="G108" s="344"/>
      <c r="H108" s="328" t="s">
        <v>198</v>
      </c>
      <c r="I108" s="329"/>
      <c r="J108" s="4"/>
      <c r="K108" s="12"/>
      <c r="L108" s="12"/>
      <c r="M108" s="12"/>
      <c r="N108" s="4"/>
    </row>
    <row r="109" spans="1:14">
      <c r="A109" s="72" t="s">
        <v>41</v>
      </c>
      <c r="B109" s="90"/>
      <c r="C109" s="320" t="s">
        <v>100</v>
      </c>
      <c r="D109" s="321"/>
      <c r="E109" s="81"/>
      <c r="F109" s="330"/>
      <c r="G109" s="331"/>
      <c r="H109" s="330" t="s">
        <v>199</v>
      </c>
      <c r="I109" s="331"/>
      <c r="J109" s="4"/>
      <c r="K109" s="12"/>
      <c r="L109" s="12"/>
      <c r="M109" s="12"/>
      <c r="N109" s="4"/>
    </row>
    <row r="110" spans="1:14">
      <c r="A110" s="126" t="s">
        <v>113</v>
      </c>
      <c r="B110" s="86"/>
      <c r="C110" s="126" t="s">
        <v>278</v>
      </c>
      <c r="D110" s="127"/>
      <c r="E110" s="81"/>
      <c r="F110" s="120"/>
      <c r="G110" s="92"/>
      <c r="H110" s="120" t="s">
        <v>470</v>
      </c>
      <c r="I110" s="92"/>
      <c r="J110" s="4"/>
      <c r="K110" s="4"/>
      <c r="L110" s="4"/>
      <c r="M110" s="4"/>
      <c r="N110" s="4"/>
    </row>
    <row r="111" spans="1:14">
      <c r="A111" s="126" t="s">
        <v>251</v>
      </c>
      <c r="B111" s="98"/>
      <c r="C111" s="126" t="s">
        <v>256</v>
      </c>
      <c r="D111" s="127"/>
      <c r="E111" s="81"/>
      <c r="F111" s="337" t="s">
        <v>63</v>
      </c>
      <c r="G111" s="338"/>
      <c r="H111" s="32"/>
      <c r="I111" s="33"/>
      <c r="J111" s="4"/>
      <c r="K111" s="4"/>
      <c r="L111" s="4"/>
      <c r="M111" s="4"/>
      <c r="N111" s="4"/>
    </row>
    <row r="112" spans="1:14">
      <c r="A112" s="91" t="s">
        <v>45</v>
      </c>
      <c r="B112" s="92"/>
      <c r="C112" s="111" t="s">
        <v>102</v>
      </c>
      <c r="D112" s="128"/>
      <c r="E112" s="81"/>
      <c r="F112" s="320" t="s">
        <v>64</v>
      </c>
      <c r="G112" s="321"/>
      <c r="H112" s="320" t="s">
        <v>109</v>
      </c>
      <c r="I112" s="321"/>
    </row>
    <row r="113" spans="1:9">
      <c r="A113" s="72" t="s">
        <v>159</v>
      </c>
      <c r="B113" s="90"/>
      <c r="C113" s="320" t="s">
        <v>168</v>
      </c>
      <c r="D113" s="321"/>
      <c r="E113" s="81"/>
      <c r="F113" s="320" t="s">
        <v>65</v>
      </c>
      <c r="G113" s="321"/>
      <c r="H113" s="320" t="s">
        <v>110</v>
      </c>
      <c r="I113" s="321"/>
    </row>
    <row r="114" spans="1:9">
      <c r="A114" s="72" t="s">
        <v>47</v>
      </c>
      <c r="B114" s="90"/>
      <c r="C114" s="320" t="s">
        <v>104</v>
      </c>
      <c r="D114" s="321"/>
      <c r="E114" s="81"/>
      <c r="F114" s="347" t="s">
        <v>129</v>
      </c>
      <c r="G114" s="348"/>
      <c r="H114" s="347" t="s">
        <v>130</v>
      </c>
      <c r="I114" s="348"/>
    </row>
    <row r="115" spans="1:9">
      <c r="A115" s="349" t="s">
        <v>46</v>
      </c>
      <c r="B115" s="350"/>
      <c r="C115" s="112" t="s">
        <v>103</v>
      </c>
      <c r="D115" s="127"/>
      <c r="E115" s="81"/>
      <c r="F115" s="368" t="s">
        <v>66</v>
      </c>
      <c r="G115" s="369"/>
      <c r="H115" s="369"/>
      <c r="I115" s="369"/>
    </row>
    <row r="116" spans="1:9">
      <c r="A116" s="349" t="s">
        <v>48</v>
      </c>
      <c r="B116" s="351"/>
      <c r="C116" s="85" t="s">
        <v>338</v>
      </c>
      <c r="D116" s="127"/>
      <c r="E116" s="81"/>
      <c r="F116" s="320" t="s">
        <v>142</v>
      </c>
      <c r="G116" s="321"/>
      <c r="H116" s="326" t="s">
        <v>143</v>
      </c>
      <c r="I116" s="327"/>
    </row>
    <row r="117" spans="1:9">
      <c r="A117" s="91"/>
      <c r="B117" s="105"/>
      <c r="C117" s="91" t="s">
        <v>339</v>
      </c>
      <c r="D117" s="128"/>
      <c r="F117" s="320" t="s">
        <v>282</v>
      </c>
      <c r="G117" s="321"/>
      <c r="H117" s="326" t="s">
        <v>283</v>
      </c>
      <c r="I117" s="327"/>
    </row>
    <row r="118" spans="1:9">
      <c r="A118" s="91" t="s">
        <v>49</v>
      </c>
      <c r="B118" s="92"/>
      <c r="C118" s="339" t="s">
        <v>148</v>
      </c>
      <c r="D118" s="340"/>
      <c r="F118" s="320" t="s">
        <v>266</v>
      </c>
      <c r="G118" s="321"/>
      <c r="H118" s="326" t="s">
        <v>267</v>
      </c>
      <c r="I118" s="327"/>
    </row>
    <row r="119" spans="1:9">
      <c r="A119" s="85" t="s">
        <v>50</v>
      </c>
      <c r="B119" s="86"/>
      <c r="C119" s="349" t="s">
        <v>116</v>
      </c>
      <c r="D119" s="350"/>
      <c r="F119" s="320" t="s">
        <v>226</v>
      </c>
      <c r="G119" s="321"/>
      <c r="H119" s="326" t="s">
        <v>227</v>
      </c>
      <c r="I119" s="327"/>
    </row>
    <row r="120" spans="1:9">
      <c r="A120" s="349" t="s">
        <v>340</v>
      </c>
      <c r="B120" s="351"/>
      <c r="C120" s="349" t="s">
        <v>343</v>
      </c>
      <c r="D120" s="350"/>
      <c r="F120" s="326" t="s">
        <v>156</v>
      </c>
      <c r="G120" s="327"/>
      <c r="H120" s="326" t="s">
        <v>157</v>
      </c>
      <c r="I120" s="327"/>
    </row>
    <row r="121" spans="1:9">
      <c r="A121" s="91" t="s">
        <v>341</v>
      </c>
      <c r="B121" s="105"/>
      <c r="C121" s="91" t="s">
        <v>344</v>
      </c>
      <c r="D121" s="101"/>
      <c r="F121" s="326" t="s">
        <v>200</v>
      </c>
      <c r="G121" s="327"/>
      <c r="H121" s="326" t="s">
        <v>263</v>
      </c>
      <c r="I121" s="327"/>
    </row>
    <row r="122" spans="1:9">
      <c r="A122" s="341" t="s">
        <v>342</v>
      </c>
      <c r="B122" s="352"/>
      <c r="C122" s="341" t="s">
        <v>345</v>
      </c>
      <c r="D122" s="342"/>
      <c r="F122" s="84"/>
      <c r="G122" s="84"/>
      <c r="H122" s="84"/>
      <c r="I122" s="84"/>
    </row>
    <row r="123" spans="1:9">
      <c r="A123" s="91" t="s">
        <v>341</v>
      </c>
      <c r="B123" s="105"/>
      <c r="C123" s="91" t="s">
        <v>344</v>
      </c>
      <c r="D123" s="101"/>
      <c r="F123" s="84"/>
      <c r="G123" s="84"/>
      <c r="H123" s="84"/>
      <c r="I123" s="84"/>
    </row>
    <row r="124" spans="1:9">
      <c r="A124" s="91" t="s">
        <v>125</v>
      </c>
      <c r="B124" s="92"/>
      <c r="C124" s="339" t="s">
        <v>133</v>
      </c>
      <c r="D124" s="340"/>
      <c r="F124" s="84"/>
      <c r="G124" s="84"/>
      <c r="H124" s="84"/>
      <c r="I124" s="84"/>
    </row>
    <row r="125" spans="1:9">
      <c r="A125" s="72" t="s">
        <v>108</v>
      </c>
      <c r="B125" s="90"/>
      <c r="C125" s="320" t="s">
        <v>115</v>
      </c>
      <c r="D125" s="321"/>
      <c r="F125" s="84"/>
      <c r="G125" s="84"/>
      <c r="H125" s="84"/>
      <c r="I125" s="84"/>
    </row>
    <row r="130" spans="1:4">
      <c r="A130" s="24"/>
      <c r="B130" s="24"/>
      <c r="C130" s="24"/>
      <c r="D130" s="24"/>
    </row>
    <row r="131" spans="1:4">
      <c r="A131" s="24"/>
      <c r="B131" s="24"/>
      <c r="C131" s="24"/>
      <c r="D131" s="24"/>
    </row>
    <row r="132" spans="1:4">
      <c r="A132" s="24"/>
      <c r="B132" s="24"/>
      <c r="C132" s="24"/>
      <c r="D132" s="24"/>
    </row>
    <row r="133" spans="1:4">
      <c r="A133" s="24"/>
      <c r="B133" s="24"/>
      <c r="C133" s="24"/>
      <c r="D133" s="24"/>
    </row>
    <row r="134" spans="1:4">
      <c r="A134" s="24"/>
      <c r="B134" s="24"/>
      <c r="C134" s="24"/>
      <c r="D134" s="24"/>
    </row>
    <row r="135" spans="1:4">
      <c r="A135" s="24"/>
      <c r="B135" s="24"/>
      <c r="C135" s="24"/>
      <c r="D135" s="24"/>
    </row>
    <row r="136" spans="1:4">
      <c r="A136" s="24"/>
      <c r="B136" s="24"/>
      <c r="C136" s="24"/>
      <c r="D136" s="24"/>
    </row>
    <row r="137" spans="1:4">
      <c r="A137" s="24"/>
      <c r="B137" s="24"/>
      <c r="C137" s="24"/>
      <c r="D137" s="24"/>
    </row>
    <row r="138" spans="1:4">
      <c r="A138" s="24"/>
      <c r="B138" s="24"/>
      <c r="C138" s="24"/>
      <c r="D138" s="24"/>
    </row>
    <row r="139" spans="1:4">
      <c r="A139" s="24"/>
      <c r="B139" s="24"/>
      <c r="C139" s="24"/>
      <c r="D139" s="24"/>
    </row>
    <row r="140" spans="1:4">
      <c r="A140" s="24"/>
      <c r="B140" s="24"/>
      <c r="C140" s="24"/>
      <c r="D140" s="24"/>
    </row>
    <row r="141" spans="1:4">
      <c r="A141" s="24"/>
      <c r="B141" s="24"/>
      <c r="C141" s="24"/>
      <c r="D141" s="24"/>
    </row>
    <row r="142" spans="1:4">
      <c r="A142" s="24"/>
      <c r="B142" s="24"/>
      <c r="C142" s="24"/>
      <c r="D142" s="24"/>
    </row>
    <row r="143" spans="1:4">
      <c r="A143" s="24"/>
      <c r="B143" s="24"/>
      <c r="C143" s="24"/>
      <c r="D143" s="24"/>
    </row>
    <row r="144" spans="1:4">
      <c r="A144" s="24"/>
      <c r="B144" s="24"/>
      <c r="C144" s="24"/>
      <c r="D144" s="24"/>
    </row>
    <row r="145" spans="1:4">
      <c r="A145" s="24"/>
      <c r="B145" s="24"/>
      <c r="C145" s="24"/>
      <c r="D145" s="24"/>
    </row>
    <row r="147" spans="1:4">
      <c r="A147" s="25"/>
      <c r="B147" s="25"/>
      <c r="C147" s="25"/>
      <c r="D147" s="25"/>
    </row>
    <row r="148" spans="1:4">
      <c r="A148" s="26"/>
      <c r="B148" s="26"/>
      <c r="C148" s="26"/>
      <c r="D148" s="26"/>
    </row>
    <row r="149" spans="1:4">
      <c r="A149" s="365"/>
      <c r="B149" s="365"/>
      <c r="C149" s="365"/>
      <c r="D149" s="365"/>
    </row>
    <row r="150" spans="1:4">
      <c r="A150" s="360"/>
      <c r="B150" s="360"/>
      <c r="C150" s="10"/>
      <c r="D150" s="13"/>
    </row>
    <row r="151" spans="1:4">
      <c r="A151" s="360"/>
      <c r="B151" s="360"/>
      <c r="C151" s="360"/>
      <c r="D151" s="360"/>
    </row>
    <row r="152" spans="1:4">
      <c r="A152" s="10"/>
      <c r="B152" s="13"/>
      <c r="C152" s="360"/>
      <c r="D152" s="360"/>
    </row>
    <row r="153" spans="1:4">
      <c r="A153" s="360"/>
      <c r="B153" s="360"/>
      <c r="C153" s="10"/>
      <c r="D153" s="13"/>
    </row>
    <row r="154" spans="1:4">
      <c r="A154" s="10"/>
      <c r="B154" s="13"/>
      <c r="C154" s="360"/>
      <c r="D154" s="360"/>
    </row>
    <row r="155" spans="1:4">
      <c r="A155" s="10"/>
      <c r="B155" s="13"/>
      <c r="C155" s="360"/>
      <c r="D155" s="360"/>
    </row>
    <row r="156" spans="1:4">
      <c r="A156" s="10"/>
      <c r="B156" s="13"/>
      <c r="C156" s="360"/>
      <c r="D156" s="360"/>
    </row>
    <row r="157" spans="1:4">
      <c r="A157" s="9"/>
      <c r="B157" s="9"/>
      <c r="C157" s="9"/>
      <c r="D157" s="13"/>
    </row>
    <row r="158" spans="1:4">
      <c r="A158" s="10"/>
      <c r="B158" s="9"/>
      <c r="C158" s="10"/>
      <c r="D158" s="13"/>
    </row>
    <row r="159" spans="1:4">
      <c r="A159" s="10"/>
      <c r="B159" s="9"/>
      <c r="C159" s="360"/>
      <c r="D159" s="360"/>
    </row>
    <row r="160" spans="1:4">
      <c r="A160" s="10"/>
      <c r="B160" s="9"/>
      <c r="C160" s="360"/>
      <c r="D160" s="360"/>
    </row>
    <row r="161" spans="1:4">
      <c r="A161" s="360"/>
      <c r="B161" s="360"/>
      <c r="C161" s="10"/>
      <c r="D161" s="13"/>
    </row>
    <row r="162" spans="1:4">
      <c r="A162" s="360"/>
      <c r="B162" s="360"/>
      <c r="C162" s="10"/>
      <c r="D162" s="13"/>
    </row>
    <row r="163" spans="1:4">
      <c r="A163" s="10"/>
      <c r="B163" s="9"/>
      <c r="C163" s="360"/>
      <c r="D163" s="360"/>
    </row>
    <row r="164" spans="1:4">
      <c r="A164" s="10"/>
      <c r="B164" s="9"/>
      <c r="C164" s="360"/>
      <c r="D164" s="360"/>
    </row>
    <row r="165" spans="1:4">
      <c r="A165" s="364"/>
      <c r="B165" s="364"/>
      <c r="C165" s="364"/>
      <c r="D165" s="364"/>
    </row>
    <row r="166" spans="1:4">
      <c r="A166" s="364"/>
      <c r="B166" s="364"/>
      <c r="C166" s="364"/>
      <c r="D166" s="364"/>
    </row>
    <row r="167" spans="1:4">
      <c r="A167" s="10"/>
      <c r="B167" s="9"/>
      <c r="C167" s="360"/>
      <c r="D167" s="360"/>
    </row>
    <row r="168" spans="1:4">
      <c r="A168" s="10"/>
      <c r="B168" s="9"/>
      <c r="C168" s="360"/>
      <c r="D168" s="360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</sheetData>
  <mergeCells count="308">
    <mergeCell ref="F119:G119"/>
    <mergeCell ref="H119:I119"/>
    <mergeCell ref="A120:B120"/>
    <mergeCell ref="F120:G120"/>
    <mergeCell ref="H120:I120"/>
    <mergeCell ref="F121:G121"/>
    <mergeCell ref="H121:I121"/>
    <mergeCell ref="C119:D119"/>
    <mergeCell ref="C120:D120"/>
    <mergeCell ref="C99:D99"/>
    <mergeCell ref="F99:G99"/>
    <mergeCell ref="H99:I99"/>
    <mergeCell ref="F96:G96"/>
    <mergeCell ref="F98:G98"/>
    <mergeCell ref="H114:I114"/>
    <mergeCell ref="A115:B115"/>
    <mergeCell ref="F115:I115"/>
    <mergeCell ref="C118:D118"/>
    <mergeCell ref="F118:G118"/>
    <mergeCell ref="H118:I118"/>
    <mergeCell ref="C114:D114"/>
    <mergeCell ref="A116:B116"/>
    <mergeCell ref="F116:G116"/>
    <mergeCell ref="H116:I116"/>
    <mergeCell ref="A94:B94"/>
    <mergeCell ref="A95:B95"/>
    <mergeCell ref="C95:D95"/>
    <mergeCell ref="F95:G95"/>
    <mergeCell ref="A96:B96"/>
    <mergeCell ref="C96:D96"/>
    <mergeCell ref="F97:G97"/>
    <mergeCell ref="H97:I97"/>
    <mergeCell ref="C98:D98"/>
    <mergeCell ref="A88:B88"/>
    <mergeCell ref="C88:D88"/>
    <mergeCell ref="C89:D89"/>
    <mergeCell ref="A90:B90"/>
    <mergeCell ref="C90:D90"/>
    <mergeCell ref="C91:D91"/>
    <mergeCell ref="A92:B92"/>
    <mergeCell ref="C92:D92"/>
    <mergeCell ref="A93:B93"/>
    <mergeCell ref="C93:D93"/>
    <mergeCell ref="A83:B83"/>
    <mergeCell ref="A82:B82"/>
    <mergeCell ref="F82:G82"/>
    <mergeCell ref="F83:G83"/>
    <mergeCell ref="H83:I83"/>
    <mergeCell ref="A86:B86"/>
    <mergeCell ref="C86:D86"/>
    <mergeCell ref="A87:B87"/>
    <mergeCell ref="C87:D87"/>
    <mergeCell ref="C75:D75"/>
    <mergeCell ref="A76:B76"/>
    <mergeCell ref="C76:D76"/>
    <mergeCell ref="A77:B77"/>
    <mergeCell ref="C77:D77"/>
    <mergeCell ref="F77:G77"/>
    <mergeCell ref="C80:D80"/>
    <mergeCell ref="F80:I80"/>
    <mergeCell ref="C81:D81"/>
    <mergeCell ref="F81:G81"/>
    <mergeCell ref="H81:I81"/>
    <mergeCell ref="A63:B63"/>
    <mergeCell ref="F63:G63"/>
    <mergeCell ref="A61:B61"/>
    <mergeCell ref="C70:D70"/>
    <mergeCell ref="A71:B71"/>
    <mergeCell ref="C71:D71"/>
    <mergeCell ref="C72:D72"/>
    <mergeCell ref="C73:D73"/>
    <mergeCell ref="A74:B74"/>
    <mergeCell ref="C74:D74"/>
    <mergeCell ref="A72:B72"/>
    <mergeCell ref="C156:D156"/>
    <mergeCell ref="A80:B80"/>
    <mergeCell ref="A81:B81"/>
    <mergeCell ref="A60:B60"/>
    <mergeCell ref="C78:D78"/>
    <mergeCell ref="A6:D6"/>
    <mergeCell ref="F6:I6"/>
    <mergeCell ref="A5:I5"/>
    <mergeCell ref="A21:B21"/>
    <mergeCell ref="C21:D21"/>
    <mergeCell ref="C24:D24"/>
    <mergeCell ref="C9:D9"/>
    <mergeCell ref="C18:D18"/>
    <mergeCell ref="C17:D17"/>
    <mergeCell ref="A17:B17"/>
    <mergeCell ref="A7:B7"/>
    <mergeCell ref="C7:D7"/>
    <mergeCell ref="C10:D10"/>
    <mergeCell ref="A12:B12"/>
    <mergeCell ref="A14:B14"/>
    <mergeCell ref="C14:D14"/>
    <mergeCell ref="A18:B18"/>
    <mergeCell ref="A19:B19"/>
    <mergeCell ref="C19:D19"/>
    <mergeCell ref="L17:O17"/>
    <mergeCell ref="L19:O19"/>
    <mergeCell ref="L24:O24"/>
    <mergeCell ref="L20:O20"/>
    <mergeCell ref="L21:O21"/>
    <mergeCell ref="L22:O22"/>
    <mergeCell ref="L23:O23"/>
    <mergeCell ref="J29:M29"/>
    <mergeCell ref="F117:G117"/>
    <mergeCell ref="H117:I117"/>
    <mergeCell ref="J77:O77"/>
    <mergeCell ref="F25:G25"/>
    <mergeCell ref="H25:I25"/>
    <mergeCell ref="H21:I21"/>
    <mergeCell ref="H22:I22"/>
    <mergeCell ref="F24:G24"/>
    <mergeCell ref="F28:G28"/>
    <mergeCell ref="H28:I28"/>
    <mergeCell ref="F27:G27"/>
    <mergeCell ref="F43:G43"/>
    <mergeCell ref="F35:G35"/>
    <mergeCell ref="F41:G41"/>
    <mergeCell ref="F45:I45"/>
    <mergeCell ref="H48:I48"/>
    <mergeCell ref="A162:B162"/>
    <mergeCell ref="A161:B161"/>
    <mergeCell ref="C165:D165"/>
    <mergeCell ref="A166:B166"/>
    <mergeCell ref="C166:D166"/>
    <mergeCell ref="C164:D164"/>
    <mergeCell ref="A79:B79"/>
    <mergeCell ref="J36:M36"/>
    <mergeCell ref="J40:M40"/>
    <mergeCell ref="A37:B37"/>
    <mergeCell ref="A85:B85"/>
    <mergeCell ref="C155:D155"/>
    <mergeCell ref="C154:D154"/>
    <mergeCell ref="A97:B97"/>
    <mergeCell ref="C97:D97"/>
    <mergeCell ref="A78:B78"/>
    <mergeCell ref="A41:B41"/>
    <mergeCell ref="C152:D152"/>
    <mergeCell ref="A75:B75"/>
    <mergeCell ref="A73:B73"/>
    <mergeCell ref="A91:B91"/>
    <mergeCell ref="A59:B59"/>
    <mergeCell ref="A38:B38"/>
    <mergeCell ref="A36:B36"/>
    <mergeCell ref="C168:D168"/>
    <mergeCell ref="C79:D79"/>
    <mergeCell ref="C36:D36"/>
    <mergeCell ref="C38:D38"/>
    <mergeCell ref="H63:I63"/>
    <mergeCell ref="C108:D108"/>
    <mergeCell ref="C109:D109"/>
    <mergeCell ref="A100:D100"/>
    <mergeCell ref="A101:B101"/>
    <mergeCell ref="C125:D125"/>
    <mergeCell ref="A150:B150"/>
    <mergeCell ref="A151:B151"/>
    <mergeCell ref="C151:D151"/>
    <mergeCell ref="F114:G114"/>
    <mergeCell ref="A106:B106"/>
    <mergeCell ref="C163:D163"/>
    <mergeCell ref="A153:B153"/>
    <mergeCell ref="C160:D160"/>
    <mergeCell ref="C113:D113"/>
    <mergeCell ref="F113:G113"/>
    <mergeCell ref="A165:B165"/>
    <mergeCell ref="A149:D149"/>
    <mergeCell ref="C159:D159"/>
    <mergeCell ref="C167:D167"/>
    <mergeCell ref="J30:M30"/>
    <mergeCell ref="J31:M31"/>
    <mergeCell ref="J32:M32"/>
    <mergeCell ref="J33:M33"/>
    <mergeCell ref="J35:M35"/>
    <mergeCell ref="A89:B89"/>
    <mergeCell ref="F33:G33"/>
    <mergeCell ref="F42:G42"/>
    <mergeCell ref="C82:D82"/>
    <mergeCell ref="F46:G46"/>
    <mergeCell ref="C32:D32"/>
    <mergeCell ref="A32:B32"/>
    <mergeCell ref="A31:B31"/>
    <mergeCell ref="A39:B39"/>
    <mergeCell ref="A42:B42"/>
    <mergeCell ref="C42:D42"/>
    <mergeCell ref="C33:D33"/>
    <mergeCell ref="A33:B33"/>
    <mergeCell ref="A44:B44"/>
    <mergeCell ref="C44:D44"/>
    <mergeCell ref="C47:D47"/>
    <mergeCell ref="A50:B50"/>
    <mergeCell ref="H49:I49"/>
    <mergeCell ref="H50:I50"/>
    <mergeCell ref="F13:G13"/>
    <mergeCell ref="F14:G14"/>
    <mergeCell ref="A122:B122"/>
    <mergeCell ref="C122:D122"/>
    <mergeCell ref="C124:D124"/>
    <mergeCell ref="C85:D85"/>
    <mergeCell ref="C83:D83"/>
    <mergeCell ref="A98:B98"/>
    <mergeCell ref="C105:D105"/>
    <mergeCell ref="A99:B99"/>
    <mergeCell ref="C107:D107"/>
    <mergeCell ref="C94:D94"/>
    <mergeCell ref="C15:D15"/>
    <mergeCell ref="C23:D23"/>
    <mergeCell ref="A20:B20"/>
    <mergeCell ref="A27:B27"/>
    <mergeCell ref="C28:D28"/>
    <mergeCell ref="A29:B29"/>
    <mergeCell ref="F49:G49"/>
    <mergeCell ref="F47:G47"/>
    <mergeCell ref="A57:B57"/>
    <mergeCell ref="C57:D57"/>
    <mergeCell ref="A62:B62"/>
    <mergeCell ref="C62:D62"/>
    <mergeCell ref="F48:G48"/>
    <mergeCell ref="F50:G50"/>
    <mergeCell ref="F51:G51"/>
    <mergeCell ref="F52:G52"/>
    <mergeCell ref="F53:G53"/>
    <mergeCell ref="F54:G54"/>
    <mergeCell ref="F18:G18"/>
    <mergeCell ref="F21:G21"/>
    <mergeCell ref="F22:G22"/>
    <mergeCell ref="F23:G23"/>
    <mergeCell ref="H26:I26"/>
    <mergeCell ref="H27:I27"/>
    <mergeCell ref="H38:I38"/>
    <mergeCell ref="H41:I41"/>
    <mergeCell ref="H46:I46"/>
    <mergeCell ref="H47:I47"/>
    <mergeCell ref="H51:I51"/>
    <mergeCell ref="F103:G103"/>
    <mergeCell ref="F104:G104"/>
    <mergeCell ref="F88:G88"/>
    <mergeCell ref="F89:G89"/>
    <mergeCell ref="F94:G94"/>
    <mergeCell ref="F101:G101"/>
    <mergeCell ref="F100:G100"/>
    <mergeCell ref="F102:G102"/>
    <mergeCell ref="F64:G64"/>
    <mergeCell ref="A68:I68"/>
    <mergeCell ref="A70:B70"/>
    <mergeCell ref="F84:G84"/>
    <mergeCell ref="F85:G85"/>
    <mergeCell ref="F87:G87"/>
    <mergeCell ref="H72:I72"/>
    <mergeCell ref="H73:I73"/>
    <mergeCell ref="F73:G73"/>
    <mergeCell ref="H52:I52"/>
    <mergeCell ref="H53:I53"/>
    <mergeCell ref="H54:I54"/>
    <mergeCell ref="H55:I55"/>
    <mergeCell ref="H56:I56"/>
    <mergeCell ref="H57:I57"/>
    <mergeCell ref="F109:G109"/>
    <mergeCell ref="F111:G111"/>
    <mergeCell ref="F112:G112"/>
    <mergeCell ref="F105:G105"/>
    <mergeCell ref="F106:G106"/>
    <mergeCell ref="F108:G108"/>
    <mergeCell ref="H108:I108"/>
    <mergeCell ref="F72:G72"/>
    <mergeCell ref="F55:G55"/>
    <mergeCell ref="F56:G56"/>
    <mergeCell ref="F57:G57"/>
    <mergeCell ref="F75:G75"/>
    <mergeCell ref="F76:G76"/>
    <mergeCell ref="F58:G58"/>
    <mergeCell ref="F59:G59"/>
    <mergeCell ref="F60:G60"/>
    <mergeCell ref="F61:G61"/>
    <mergeCell ref="F70:G70"/>
    <mergeCell ref="H74:I74"/>
    <mergeCell ref="F74:G74"/>
    <mergeCell ref="H75:I75"/>
    <mergeCell ref="H76:I76"/>
    <mergeCell ref="H77:I77"/>
    <mergeCell ref="H82:I82"/>
    <mergeCell ref="H58:I58"/>
    <mergeCell ref="H59:I59"/>
    <mergeCell ref="H60:I60"/>
    <mergeCell ref="H61:I61"/>
    <mergeCell ref="H70:I70"/>
    <mergeCell ref="H64:I64"/>
    <mergeCell ref="H84:I84"/>
    <mergeCell ref="H85:I85"/>
    <mergeCell ref="H87:I87"/>
    <mergeCell ref="H88:I88"/>
    <mergeCell ref="H89:I89"/>
    <mergeCell ref="H109:I109"/>
    <mergeCell ref="H94:I94"/>
    <mergeCell ref="H95:I95"/>
    <mergeCell ref="H96:I96"/>
    <mergeCell ref="H98:I98"/>
    <mergeCell ref="F93:I93"/>
    <mergeCell ref="H101:I101"/>
    <mergeCell ref="H102:I102"/>
    <mergeCell ref="H100:I100"/>
    <mergeCell ref="H112:I112"/>
    <mergeCell ref="H113:I113"/>
    <mergeCell ref="H103:I103"/>
    <mergeCell ref="H104:I104"/>
    <mergeCell ref="H105:I105"/>
    <mergeCell ref="H106:I106"/>
  </mergeCells>
  <phoneticPr fontId="4" type="noConversion"/>
  <pageMargins left="0.31496062992125984" right="0.27559055118110237" top="0.15748031496062992" bottom="0.11811023622047245" header="0.19685039370078741" footer="0.19685039370078741"/>
  <pageSetup scale="8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Pricelist</vt:lpstr>
      <vt:lpstr>Descriptions</vt:lpstr>
      <vt:lpstr>Descriptions!Print_Area</vt:lpstr>
      <vt:lpstr>Pricelist!Print_Area</vt:lpstr>
    </vt:vector>
  </TitlesOfParts>
  <Company>Staples Business Depot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ccenter057</dc:creator>
  <cp:lastModifiedBy>Owner</cp:lastModifiedBy>
  <cp:lastPrinted>2012-02-16T14:55:03Z</cp:lastPrinted>
  <dcterms:created xsi:type="dcterms:W3CDTF">2005-08-08T12:55:33Z</dcterms:created>
  <dcterms:modified xsi:type="dcterms:W3CDTF">2012-02-21T01:47:32Z</dcterms:modified>
</cp:coreProperties>
</file>