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135" windowWidth="15225" windowHeight="8535"/>
  </bookViews>
  <sheets>
    <sheet name="Sheet1" sheetId="1" r:id="rId1"/>
  </sheets>
  <calcPr calcId="124519"/>
</workbook>
</file>

<file path=xl/calcChain.xml><?xml version="1.0" encoding="utf-8"?>
<calcChain xmlns="http://schemas.openxmlformats.org/spreadsheetml/2006/main">
  <c r="F52" i="1"/>
  <c r="F51"/>
  <c r="F50"/>
  <c r="F48"/>
  <c r="F47"/>
  <c r="G50"/>
  <c r="I50"/>
  <c r="I51"/>
  <c r="I52"/>
  <c r="G48"/>
  <c r="I48"/>
  <c r="I47"/>
  <c r="I53"/>
  <c r="G28"/>
  <c r="H28"/>
  <c r="I28"/>
  <c r="G29"/>
  <c r="H29"/>
  <c r="I29"/>
  <c r="G30"/>
  <c r="H30"/>
  <c r="I30"/>
  <c r="G31"/>
  <c r="H31"/>
  <c r="I31"/>
  <c r="G33"/>
  <c r="H33"/>
  <c r="I33"/>
  <c r="I34"/>
</calcChain>
</file>

<file path=xl/sharedStrings.xml><?xml version="1.0" encoding="utf-8"?>
<sst xmlns="http://schemas.openxmlformats.org/spreadsheetml/2006/main" count="79" uniqueCount="61">
  <si>
    <t>Emergency Contact(s):</t>
  </si>
  <si>
    <t>Legal Name:</t>
  </si>
  <si>
    <t xml:space="preserve">Address: </t>
  </si>
  <si>
    <t xml:space="preserve">City: </t>
  </si>
  <si>
    <t>Province:</t>
  </si>
  <si>
    <t>Postal Code</t>
  </si>
  <si>
    <t>Age</t>
  </si>
  <si>
    <t>I am not vending (check only one)</t>
  </si>
  <si>
    <t>Rate</t>
  </si>
  <si>
    <t>Total</t>
  </si>
  <si>
    <t>0 to 6</t>
  </si>
  <si>
    <t># People</t>
  </si>
  <si>
    <t>Tax (GST)</t>
  </si>
  <si>
    <t>Summary</t>
  </si>
  <si>
    <t xml:space="preserve">Spronglings </t>
  </si>
  <si>
    <t>Tax (HST)</t>
  </si>
  <si>
    <t>I am vending, have read and will adhere to the vending policy (check only one)</t>
  </si>
  <si>
    <t xml:space="preserve">Your Total </t>
  </si>
  <si>
    <t>FREE</t>
  </si>
  <si>
    <t xml:space="preserve">Adult: Week (Wed to Mon): </t>
  </si>
  <si>
    <t>Adult: Weekend (Fri to Mon)</t>
  </si>
  <si>
    <t xml:space="preserve">Kids: Week (Wed to Mon): </t>
  </si>
  <si>
    <t>Kids: Weekend  (Fri to Mon)</t>
  </si>
  <si>
    <t>Indoor Accommodations**</t>
  </si>
  <si>
    <t xml:space="preserve">Day In: </t>
  </si>
  <si>
    <t xml:space="preserve">Day Out: </t>
  </si>
  <si>
    <t>July</t>
  </si>
  <si>
    <t>August</t>
  </si>
  <si>
    <r>
      <t>Kaleidoscope Gathering</t>
    </r>
    <r>
      <rPr>
        <sz val="10"/>
        <rFont val="Arial Narrow"/>
        <family val="2"/>
      </rPr>
      <t xml:space="preserve"> 
c/o Maryanne Pearce
227 Flodden Way 
Nepean, ON K2G 7E1
</t>
    </r>
  </si>
  <si>
    <t># Party</t>
  </si>
  <si>
    <t xml:space="preserve">Adults: </t>
  </si>
  <si>
    <t>Children:</t>
  </si>
  <si>
    <t>Spronglings:</t>
  </si>
  <si>
    <t>Families**</t>
  </si>
  <si>
    <t>0-6</t>
  </si>
  <si>
    <t>Site with hydro:</t>
  </si>
  <si>
    <t>Daily Rate</t>
  </si>
  <si>
    <t># of Days</t>
  </si>
  <si>
    <t>Additional Children:</t>
  </si>
  <si>
    <r>
      <t xml:space="preserve">Craft / Other Name(s): </t>
    </r>
    <r>
      <rPr>
        <i/>
        <sz val="8"/>
        <rFont val="Arial Narrow"/>
        <family val="2"/>
      </rPr>
      <t/>
    </r>
  </si>
  <si>
    <t xml:space="preserve">This information is collected in case of emergency and someone only knows you by this name! </t>
  </si>
  <si>
    <t>Name:</t>
  </si>
  <si>
    <t>Phone:</t>
  </si>
  <si>
    <t xml:space="preserve">E-mail(s): </t>
  </si>
  <si>
    <r>
      <t xml:space="preserve">Other Attendees' Legal Name, Craft Name, and Age of children: </t>
    </r>
    <r>
      <rPr>
        <sz val="10"/>
        <rFont val="Arial Narrow"/>
        <family val="2"/>
      </rPr>
      <t>(add more lines, if necessary)</t>
    </r>
  </si>
  <si>
    <t xml:space="preserve">Phone(s): </t>
  </si>
  <si>
    <r>
      <t>Kaleidoscope Gathering</t>
    </r>
    <r>
      <rPr>
        <b/>
        <sz val="24"/>
        <rFont val="Arial Narrow"/>
        <family val="2"/>
      </rPr>
      <t xml:space="preserve"> Pre-Registration </t>
    </r>
  </si>
  <si>
    <r>
      <t>Electronic:</t>
    </r>
    <r>
      <rPr>
        <sz val="10"/>
        <rFont val="Arial Narrow"/>
        <family val="2"/>
      </rPr>
      <t xml:space="preserve"> you can e-mail your funds from your bank to us directly to kgfestival@rogers.com. Send a copy of the Registration form via email.</t>
    </r>
  </si>
  <si>
    <r>
      <t>Post</t>
    </r>
    <r>
      <rPr>
        <sz val="10"/>
        <rFont val="Arial Narrow"/>
        <family val="2"/>
      </rPr>
      <t xml:space="preserve">: send this form and your cheque / money order made out to </t>
    </r>
    <r>
      <rPr>
        <i/>
        <sz val="10"/>
        <rFont val="Arial Narrow"/>
        <family val="2"/>
      </rPr>
      <t>Kaleidoscope Gathering</t>
    </r>
    <r>
      <rPr>
        <sz val="10"/>
        <rFont val="Arial Narrow"/>
        <family val="2"/>
      </rPr>
      <t xml:space="preserve"> (address below). </t>
    </r>
  </si>
  <si>
    <t>**Indoor accommodations** are for the week only, must be pre-registered and are reserved for Elders and the disabled. For more information, contact Maryanne at kgfestival@rogers.com There are limited spaces and we need to know how many spaces will be reserved, and for whom. Pre-registration and payment is required to ensure that the spaces are actually used!</t>
  </si>
  <si>
    <r>
      <t># of Pre-</t>
    </r>
    <r>
      <rPr>
        <i/>
        <sz val="10"/>
        <rFont val="Arial Narrow"/>
        <family val="2"/>
      </rPr>
      <t>KG</t>
    </r>
    <r>
      <rPr>
        <sz val="10"/>
        <rFont val="Arial Narrow"/>
        <family val="2"/>
      </rPr>
      <t xml:space="preserve"> Days: </t>
    </r>
  </si>
  <si>
    <r>
      <t># of Post-</t>
    </r>
    <r>
      <rPr>
        <i/>
        <sz val="10"/>
        <rFont val="Arial Narrow"/>
        <family val="2"/>
      </rPr>
      <t>KG</t>
    </r>
    <r>
      <rPr>
        <sz val="10"/>
        <rFont val="Arial Narrow"/>
        <family val="2"/>
      </rPr>
      <t xml:space="preserve"> Days:</t>
    </r>
  </si>
  <si>
    <r>
      <t xml:space="preserve">Payment Options: </t>
    </r>
    <r>
      <rPr>
        <sz val="10"/>
        <rFont val="Arial Narrow"/>
        <family val="2"/>
      </rPr>
      <t xml:space="preserve">Pre-Registration forms and payment in full must be received before June 30th, you can receive the regular pre-registration rate, but HST is applicable. </t>
    </r>
  </si>
  <si>
    <r>
      <t>KG</t>
    </r>
    <r>
      <rPr>
        <b/>
        <sz val="12"/>
        <rFont val="Arial Narrow"/>
        <family val="2"/>
      </rPr>
      <t xml:space="preserve"> Regular Pre-Registration </t>
    </r>
    <r>
      <rPr>
        <sz val="12"/>
        <rFont val="Arial Narrow"/>
        <family val="2"/>
      </rPr>
      <t>(Full payment must be received by June 30, 2011)</t>
    </r>
  </si>
  <si>
    <r>
      <t xml:space="preserve">
Payment can be made by e-mail, cheque or money order.  Payments may be sent electronically from your bank account by email to kgfestival@rogers.com. You may also pay by cheque or money order, made out to "</t>
    </r>
    <r>
      <rPr>
        <i/>
        <sz val="10"/>
        <rFont val="Arial Narrow"/>
        <family val="2"/>
      </rPr>
      <t>Kaleidoscope Gathering</t>
    </r>
    <r>
      <rPr>
        <sz val="10"/>
        <rFont val="Arial Narrow"/>
        <family val="2"/>
      </rPr>
      <t>".  Remember to send Canadian funds to:</t>
    </r>
  </si>
  <si>
    <r>
      <t>Raven’s Knoll, Pre- or Post-</t>
    </r>
    <r>
      <rPr>
        <b/>
        <i/>
        <sz val="12"/>
        <rFont val="Arial Narrow"/>
        <family val="2"/>
      </rPr>
      <t>KG</t>
    </r>
    <r>
      <rPr>
        <b/>
        <sz val="12"/>
        <rFont val="Arial Narrow"/>
        <family val="2"/>
      </rPr>
      <t xml:space="preserve"> Pre-Registration (Optional)</t>
    </r>
  </si>
  <si>
    <t xml:space="preserve">We look forward to seeing you at the 22st annual Kaleidoscope Gathering, held once again  on the Pagan-owned, permanent home for KG: Raven's Knoll! (www.ravensknoll.ca) </t>
  </si>
  <si>
    <t>You can arrive early and stay late at Raven's Knoll without pre-registering. If you know what dates you will be attending, pre-payment is a good idea. It also speeds up registration on-site! You can include it in the same payment as your KG payment.</t>
  </si>
  <si>
    <t>**Families include 2 adults (18+) and 2 children 7 to 15. Children under 6 are free. Any additional children are $3 incluing taxes.</t>
  </si>
  <si>
    <t>7 to 15</t>
  </si>
  <si>
    <t>16+</t>
  </si>
</sst>
</file>

<file path=xl/styles.xml><?xml version="1.0" encoding="utf-8"?>
<styleSheet xmlns="http://schemas.openxmlformats.org/spreadsheetml/2006/main">
  <fonts count="16">
    <font>
      <sz val="10"/>
      <name val="Arial"/>
    </font>
    <font>
      <sz val="12"/>
      <name val="Times New Roman"/>
      <family val="1"/>
    </font>
    <font>
      <b/>
      <i/>
      <sz val="12"/>
      <name val="Times New Roman"/>
      <family val="1"/>
    </font>
    <font>
      <sz val="8"/>
      <name val="Arial"/>
    </font>
    <font>
      <sz val="12"/>
      <name val="Wingdings 2"/>
      <family val="1"/>
      <charset val="2"/>
    </font>
    <font>
      <sz val="10"/>
      <name val="Arial Narrow"/>
      <family val="2"/>
    </font>
    <font>
      <b/>
      <sz val="12"/>
      <name val="Arial Narrow"/>
      <family val="2"/>
    </font>
    <font>
      <b/>
      <i/>
      <sz val="10"/>
      <name val="Arial Narrow"/>
      <family val="2"/>
    </font>
    <font>
      <sz val="12"/>
      <name val="Arial Narrow"/>
      <family val="2"/>
    </font>
    <font>
      <i/>
      <sz val="8"/>
      <name val="Arial Narrow"/>
      <family val="2"/>
    </font>
    <font>
      <b/>
      <sz val="10"/>
      <name val="Arial Narrow"/>
      <family val="2"/>
    </font>
    <font>
      <i/>
      <sz val="10"/>
      <name val="Arial Narrow"/>
      <family val="2"/>
    </font>
    <font>
      <b/>
      <i/>
      <sz val="24"/>
      <name val="Arial Narrow"/>
      <family val="2"/>
    </font>
    <font>
      <b/>
      <sz val="24"/>
      <name val="Arial Narrow"/>
      <family val="2"/>
    </font>
    <font>
      <sz val="10"/>
      <name val="Arial"/>
    </font>
    <font>
      <b/>
      <i/>
      <sz val="12"/>
      <name val="Arial Narrow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1" applyBorder="1"/>
    <xf numFmtId="0" fontId="4" fillId="0" borderId="1" xfId="0" applyFont="1" applyBorder="1" applyAlignment="1">
      <alignment horizontal="center"/>
    </xf>
    <xf numFmtId="0" fontId="8" fillId="0" borderId="0" xfId="0" applyFont="1" applyBorder="1"/>
    <xf numFmtId="0" fontId="5" fillId="0" borderId="1" xfId="0" applyFont="1" applyBorder="1"/>
    <xf numFmtId="0" fontId="5" fillId="0" borderId="0" xfId="0" applyFont="1" applyBorder="1"/>
    <xf numFmtId="0" fontId="5" fillId="0" borderId="2" xfId="0" applyFont="1" applyBorder="1"/>
    <xf numFmtId="0" fontId="5" fillId="0" borderId="0" xfId="0" applyFont="1" applyBorder="1" applyAlignment="1">
      <alignment wrapText="1"/>
    </xf>
    <xf numFmtId="0" fontId="6" fillId="0" borderId="0" xfId="0" applyFont="1" applyBorder="1" applyAlignment="1">
      <alignment horizontal="center"/>
    </xf>
    <xf numFmtId="16" fontId="5" fillId="0" borderId="0" xfId="0" applyNumberFormat="1" applyFont="1" applyBorder="1"/>
    <xf numFmtId="0" fontId="10" fillId="0" borderId="0" xfId="0" applyFont="1" applyBorder="1" applyAlignment="1">
      <alignment horizontal="right"/>
    </xf>
    <xf numFmtId="0" fontId="5" fillId="0" borderId="1" xfId="0" applyFont="1" applyBorder="1" applyAlignment="1">
      <alignment horizontal="right"/>
    </xf>
    <xf numFmtId="0" fontId="6" fillId="0" borderId="0" xfId="0" applyFont="1" applyFill="1" applyBorder="1" applyAlignment="1">
      <alignment horizontal="center"/>
    </xf>
    <xf numFmtId="2" fontId="5" fillId="0" borderId="1" xfId="0" applyNumberFormat="1" applyFont="1" applyBorder="1"/>
    <xf numFmtId="0" fontId="8" fillId="0" borderId="0" xfId="0" applyFont="1" applyBorder="1" applyAlignment="1"/>
    <xf numFmtId="0" fontId="9" fillId="0" borderId="0" xfId="0" applyFont="1" applyBorder="1" applyAlignment="1"/>
    <xf numFmtId="0" fontId="5" fillId="0" borderId="1" xfId="0" applyFont="1" applyBorder="1" applyAlignment="1"/>
    <xf numFmtId="0" fontId="5" fillId="0" borderId="0" xfId="0" applyFont="1" applyBorder="1" applyAlignment="1">
      <alignment horizontal="left"/>
    </xf>
    <xf numFmtId="0" fontId="5" fillId="0" borderId="0" xfId="0" applyFont="1" applyBorder="1" applyAlignment="1">
      <alignment horizontal="right"/>
    </xf>
    <xf numFmtId="0" fontId="5" fillId="0" borderId="0" xfId="0" applyFont="1" applyBorder="1" applyAlignment="1">
      <alignment horizontal="center"/>
    </xf>
    <xf numFmtId="16" fontId="5" fillId="0" borderId="0" xfId="0" applyNumberFormat="1" applyFont="1" applyBorder="1" applyAlignment="1">
      <alignment horizontal="center"/>
    </xf>
    <xf numFmtId="2" fontId="5" fillId="0" borderId="0" xfId="0" applyNumberFormat="1" applyFont="1" applyBorder="1" applyAlignment="1">
      <alignment horizontal="center"/>
    </xf>
    <xf numFmtId="2" fontId="10" fillId="0" borderId="0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2" fontId="5" fillId="0" borderId="4" xfId="0" applyNumberFormat="1" applyFont="1" applyBorder="1" applyAlignment="1">
      <alignment horizontal="center"/>
    </xf>
    <xf numFmtId="0" fontId="5" fillId="0" borderId="3" xfId="0" applyFont="1" applyBorder="1"/>
    <xf numFmtId="2" fontId="10" fillId="0" borderId="4" xfId="0" applyNumberFormat="1" applyFont="1" applyBorder="1"/>
    <xf numFmtId="0" fontId="5" fillId="0" borderId="5" xfId="0" applyFont="1" applyBorder="1"/>
    <xf numFmtId="2" fontId="10" fillId="0" borderId="6" xfId="0" applyNumberFormat="1" applyFont="1" applyBorder="1" applyAlignment="1">
      <alignment horizontal="center"/>
    </xf>
    <xf numFmtId="0" fontId="8" fillId="0" borderId="0" xfId="0" applyFont="1" applyBorder="1" applyAlignment="1">
      <alignment horizontal="right" indent="1"/>
    </xf>
    <xf numFmtId="0" fontId="5" fillId="0" borderId="0" xfId="0" applyFont="1" applyBorder="1" applyAlignment="1"/>
    <xf numFmtId="0" fontId="14" fillId="0" borderId="0" xfId="0" applyFont="1"/>
    <xf numFmtId="0" fontId="14" fillId="0" borderId="0" xfId="0" applyFont="1" applyBorder="1"/>
    <xf numFmtId="0" fontId="5" fillId="0" borderId="3" xfId="0" applyFont="1" applyBorder="1" applyAlignment="1">
      <alignment horizontal="right"/>
    </xf>
    <xf numFmtId="0" fontId="5" fillId="0" borderId="0" xfId="0" applyFont="1" applyBorder="1" applyAlignment="1">
      <alignment horizontal="right"/>
    </xf>
    <xf numFmtId="0" fontId="14" fillId="0" borderId="0" xfId="0" applyFont="1" applyAlignment="1">
      <alignment horizontal="right"/>
    </xf>
    <xf numFmtId="0" fontId="5" fillId="0" borderId="1" xfId="0" applyFont="1" applyBorder="1"/>
    <xf numFmtId="0" fontId="5" fillId="0" borderId="1" xfId="0" applyFont="1" applyBorder="1" applyAlignment="1">
      <alignment wrapText="1"/>
    </xf>
    <xf numFmtId="0" fontId="5" fillId="0" borderId="2" xfId="0" applyFont="1" applyBorder="1" applyAlignment="1"/>
    <xf numFmtId="0" fontId="5" fillId="0" borderId="0" xfId="0" applyFont="1" applyBorder="1"/>
    <xf numFmtId="0" fontId="10" fillId="0" borderId="0" xfId="0" applyFont="1" applyBorder="1" applyAlignment="1">
      <alignment wrapText="1"/>
    </xf>
    <xf numFmtId="0" fontId="14" fillId="0" borderId="0" xfId="0" applyFont="1" applyAlignment="1">
      <alignment wrapText="1"/>
    </xf>
    <xf numFmtId="0" fontId="8" fillId="0" borderId="0" xfId="0" applyFont="1" applyBorder="1"/>
    <xf numFmtId="0" fontId="6" fillId="0" borderId="0" xfId="0" applyFont="1" applyBorder="1" applyAlignment="1">
      <alignment horizontal="center"/>
    </xf>
    <xf numFmtId="0" fontId="7" fillId="0" borderId="1" xfId="0" applyFont="1" applyBorder="1" applyAlignment="1"/>
    <xf numFmtId="0" fontId="12" fillId="0" borderId="0" xfId="0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0" fontId="10" fillId="0" borderId="0" xfId="0" applyFont="1" applyBorder="1" applyAlignment="1">
      <alignment horizontal="left" wrapText="1"/>
    </xf>
    <xf numFmtId="0" fontId="7" fillId="0" borderId="0" xfId="0" applyFont="1" applyBorder="1" applyAlignment="1">
      <alignment wrapText="1"/>
    </xf>
    <xf numFmtId="0" fontId="7" fillId="0" borderId="0" xfId="0" applyFont="1" applyBorder="1" applyAlignment="1">
      <alignment horizontal="right"/>
    </xf>
    <xf numFmtId="0" fontId="5" fillId="0" borderId="0" xfId="0" applyFont="1" applyBorder="1" applyAlignment="1">
      <alignment wrapText="1"/>
    </xf>
    <xf numFmtId="0" fontId="5" fillId="0" borderId="1" xfId="0" applyFont="1" applyBorder="1" applyAlignment="1"/>
    <xf numFmtId="0" fontId="10" fillId="0" borderId="1" xfId="0" applyFont="1" applyBorder="1" applyAlignment="1">
      <alignment horizontal="right"/>
    </xf>
    <xf numFmtId="0" fontId="6" fillId="0" borderId="7" xfId="0" applyFont="1" applyBorder="1" applyAlignment="1">
      <alignment horizontal="center"/>
    </xf>
    <xf numFmtId="0" fontId="2" fillId="0" borderId="0" xfId="0" applyFont="1" applyBorder="1" applyAlignment="1">
      <alignment wrapText="1"/>
    </xf>
    <xf numFmtId="0" fontId="15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1" fillId="0" borderId="0" xfId="0" applyFont="1" applyBorder="1" applyAlignment="1">
      <alignment horizontal="center" wrapText="1"/>
    </xf>
    <xf numFmtId="0" fontId="5" fillId="0" borderId="0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55</xdr:row>
      <xdr:rowOff>19050</xdr:rowOff>
    </xdr:from>
    <xdr:to>
      <xdr:col>3</xdr:col>
      <xdr:colOff>266700</xdr:colOff>
      <xdr:row>62</xdr:row>
      <xdr:rowOff>152400</xdr:rowOff>
    </xdr:to>
    <xdr:pic>
      <xdr:nvPicPr>
        <xdr:cNvPr id="1037" name="Picture 3" descr="M1_KG_type_72_web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95250" y="12049125"/>
          <a:ext cx="2314575" cy="1533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</xdr:col>
      <xdr:colOff>9525</xdr:colOff>
      <xdr:row>55</xdr:row>
      <xdr:rowOff>76200</xdr:rowOff>
    </xdr:from>
    <xdr:to>
      <xdr:col>7</xdr:col>
      <xdr:colOff>342900</xdr:colOff>
      <xdr:row>62</xdr:row>
      <xdr:rowOff>133350</xdr:rowOff>
    </xdr:to>
    <xdr:pic>
      <xdr:nvPicPr>
        <xdr:cNvPr id="1038" name="Picture 4" descr="nDRGN_FLY_numastercolr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371850" y="12106275"/>
          <a:ext cx="1695450" cy="14573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66"/>
  <sheetViews>
    <sheetView tabSelected="1" workbookViewId="0">
      <selection activeCell="A3" sqref="A3:I3"/>
    </sheetView>
  </sheetViews>
  <sheetFormatPr defaultRowHeight="12.75"/>
  <cols>
    <col min="1" max="1" width="9.140625" style="34"/>
    <col min="2" max="2" width="13.85546875" style="34" customWidth="1"/>
    <col min="3" max="6" width="9.140625" style="34"/>
    <col min="7" max="7" width="11.28515625" style="34" customWidth="1"/>
    <col min="8" max="9" width="9.140625" style="34"/>
    <col min="10" max="16384" width="9.140625" style="33"/>
  </cols>
  <sheetData>
    <row r="1" spans="1:16" ht="30">
      <c r="A1" s="47" t="s">
        <v>46</v>
      </c>
      <c r="B1" s="48"/>
      <c r="C1" s="48"/>
      <c r="D1" s="48"/>
      <c r="E1" s="48"/>
      <c r="F1" s="48"/>
      <c r="G1" s="48"/>
      <c r="H1" s="48"/>
      <c r="I1" s="48"/>
    </row>
    <row r="2" spans="1:16" ht="30" customHeight="1">
      <c r="A2" s="49" t="s">
        <v>52</v>
      </c>
      <c r="B2" s="49"/>
      <c r="C2" s="49"/>
      <c r="D2" s="49"/>
      <c r="E2" s="49"/>
      <c r="F2" s="49"/>
      <c r="G2" s="49"/>
      <c r="H2" s="49"/>
      <c r="I2" s="49"/>
    </row>
    <row r="3" spans="1:16" ht="25.5" customHeight="1">
      <c r="A3" s="50" t="s">
        <v>47</v>
      </c>
      <c r="B3" s="50"/>
      <c r="C3" s="50"/>
      <c r="D3" s="50"/>
      <c r="E3" s="50"/>
      <c r="F3" s="50"/>
      <c r="G3" s="50"/>
      <c r="H3" s="50"/>
      <c r="I3" s="50"/>
    </row>
    <row r="4" spans="1:16">
      <c r="A4" s="42" t="s">
        <v>48</v>
      </c>
      <c r="B4" s="50"/>
      <c r="C4" s="50"/>
      <c r="D4" s="50"/>
      <c r="E4" s="50"/>
      <c r="F4" s="50"/>
      <c r="G4" s="50"/>
      <c r="H4" s="50"/>
      <c r="I4" s="50"/>
    </row>
    <row r="5" spans="1:16">
      <c r="A5" s="42"/>
      <c r="B5" s="43"/>
      <c r="C5" s="43"/>
      <c r="D5" s="43"/>
      <c r="E5" s="43"/>
      <c r="F5" s="43"/>
      <c r="G5" s="43"/>
      <c r="H5" s="43"/>
      <c r="I5" s="43"/>
    </row>
    <row r="6" spans="1:16">
      <c r="A6" s="51" t="s">
        <v>1</v>
      </c>
      <c r="B6" s="51"/>
      <c r="C6" s="46"/>
      <c r="D6" s="46"/>
      <c r="E6" s="46"/>
      <c r="F6" s="46"/>
      <c r="G6" s="46"/>
      <c r="H6" s="46"/>
      <c r="I6" s="46"/>
    </row>
    <row r="7" spans="1:16" ht="15.75">
      <c r="A7" s="44"/>
      <c r="B7" s="44"/>
      <c r="C7" s="44"/>
      <c r="D7" s="44"/>
      <c r="E7" s="44"/>
      <c r="F7" s="44"/>
      <c r="G7" s="44"/>
      <c r="H7" s="44"/>
      <c r="I7" s="44"/>
    </row>
    <row r="8" spans="1:16" ht="13.5">
      <c r="A8" s="51" t="s">
        <v>39</v>
      </c>
      <c r="B8" s="37"/>
      <c r="C8" s="46"/>
      <c r="D8" s="46"/>
      <c r="E8" s="46"/>
      <c r="F8" s="46"/>
      <c r="G8" s="46"/>
      <c r="H8" s="46"/>
      <c r="I8" s="46"/>
    </row>
    <row r="9" spans="1:16" ht="15.75">
      <c r="B9" s="14"/>
      <c r="C9" s="15" t="s">
        <v>40</v>
      </c>
      <c r="D9" s="14"/>
      <c r="E9" s="14"/>
      <c r="F9" s="14"/>
      <c r="G9" s="14"/>
      <c r="H9" s="14"/>
      <c r="I9" s="14"/>
    </row>
    <row r="10" spans="1:16" ht="15.75">
      <c r="A10" s="3" t="s">
        <v>2</v>
      </c>
      <c r="B10" s="38"/>
      <c r="C10" s="38"/>
      <c r="D10" s="38"/>
      <c r="E10" s="38"/>
      <c r="F10" s="38"/>
      <c r="G10" s="38"/>
      <c r="H10" s="38"/>
      <c r="I10" s="38"/>
    </row>
    <row r="11" spans="1:16" ht="15.75">
      <c r="A11" s="3" t="s">
        <v>3</v>
      </c>
      <c r="B11" s="38"/>
      <c r="C11" s="38"/>
      <c r="D11" s="5" t="s">
        <v>4</v>
      </c>
      <c r="E11" s="38"/>
      <c r="F11" s="38"/>
      <c r="G11" s="5" t="s">
        <v>5</v>
      </c>
      <c r="H11" s="38"/>
      <c r="I11" s="38"/>
    </row>
    <row r="12" spans="1:16" ht="15.75">
      <c r="A12" s="3" t="s">
        <v>43</v>
      </c>
      <c r="B12" s="38"/>
      <c r="C12" s="38"/>
      <c r="D12" s="38"/>
      <c r="E12" s="38"/>
      <c r="F12" s="38"/>
      <c r="G12" s="38"/>
      <c r="H12" s="38"/>
      <c r="I12" s="38"/>
    </row>
    <row r="13" spans="1:16" ht="15.75">
      <c r="A13" s="3" t="s">
        <v>45</v>
      </c>
      <c r="B13" s="38"/>
      <c r="C13" s="38"/>
      <c r="D13" s="38"/>
      <c r="E13" s="38"/>
      <c r="F13" s="38"/>
      <c r="G13" s="38"/>
      <c r="H13" s="38"/>
      <c r="I13" s="38"/>
    </row>
    <row r="14" spans="1:16" ht="15.75">
      <c r="A14" s="44" t="s">
        <v>44</v>
      </c>
      <c r="B14" s="44"/>
      <c r="C14" s="44"/>
      <c r="D14" s="44"/>
      <c r="E14" s="44"/>
      <c r="F14" s="44"/>
      <c r="G14" s="44"/>
      <c r="H14" s="44"/>
      <c r="I14" s="19" t="s">
        <v>6</v>
      </c>
      <c r="J14" s="34"/>
      <c r="K14" s="34"/>
      <c r="L14" s="34"/>
      <c r="M14" s="34"/>
      <c r="N14" s="34"/>
      <c r="O14" s="34"/>
      <c r="P14" s="34"/>
    </row>
    <row r="15" spans="1:16" ht="15.75">
      <c r="A15" s="31">
        <v>1</v>
      </c>
      <c r="B15" s="53"/>
      <c r="C15" s="53"/>
      <c r="D15" s="53"/>
      <c r="E15" s="53"/>
      <c r="F15" s="53"/>
      <c r="G15" s="53"/>
      <c r="H15" s="53"/>
      <c r="I15" s="4"/>
      <c r="J15" s="34"/>
      <c r="K15" s="34"/>
      <c r="L15" s="34"/>
      <c r="M15" s="34"/>
      <c r="N15" s="34"/>
      <c r="O15" s="34"/>
      <c r="P15" s="34"/>
    </row>
    <row r="16" spans="1:16" ht="15.75">
      <c r="A16" s="31">
        <v>2</v>
      </c>
      <c r="B16" s="40"/>
      <c r="C16" s="40"/>
      <c r="D16" s="40"/>
      <c r="E16" s="40"/>
      <c r="F16" s="40"/>
      <c r="G16" s="40"/>
      <c r="H16" s="40"/>
      <c r="I16" s="4"/>
      <c r="J16" s="34"/>
      <c r="K16" s="34"/>
      <c r="L16" s="34"/>
      <c r="M16" s="34"/>
      <c r="N16" s="34"/>
      <c r="O16" s="34"/>
      <c r="P16" s="34"/>
    </row>
    <row r="17" spans="1:16" ht="15.75">
      <c r="A17" s="31">
        <v>3</v>
      </c>
      <c r="B17" s="40"/>
      <c r="C17" s="40"/>
      <c r="D17" s="40"/>
      <c r="E17" s="40"/>
      <c r="F17" s="40"/>
      <c r="G17" s="40"/>
      <c r="H17" s="40"/>
      <c r="I17" s="6"/>
      <c r="J17" s="34"/>
      <c r="K17" s="34"/>
      <c r="L17" s="34"/>
      <c r="M17" s="34"/>
      <c r="N17" s="34"/>
      <c r="O17" s="34"/>
      <c r="P17" s="34"/>
    </row>
    <row r="18" spans="1:16" ht="15.75">
      <c r="A18" s="31">
        <v>4</v>
      </c>
      <c r="B18" s="40"/>
      <c r="C18" s="40"/>
      <c r="D18" s="40"/>
      <c r="E18" s="40"/>
      <c r="F18" s="40"/>
      <c r="G18" s="40"/>
      <c r="H18" s="40"/>
      <c r="I18" s="5"/>
      <c r="J18" s="34"/>
      <c r="K18" s="34"/>
      <c r="L18" s="34"/>
      <c r="M18" s="34"/>
      <c r="N18" s="34"/>
      <c r="O18" s="34"/>
      <c r="P18" s="34"/>
    </row>
    <row r="19" spans="1:16" ht="15.75">
      <c r="A19" s="31"/>
      <c r="B19" s="32"/>
      <c r="C19" s="32"/>
      <c r="D19" s="16"/>
      <c r="E19" s="16"/>
      <c r="F19" s="16"/>
      <c r="G19" s="32"/>
      <c r="H19" s="16"/>
      <c r="I19" s="5"/>
      <c r="J19" s="34"/>
      <c r="K19" s="34"/>
      <c r="L19" s="34"/>
      <c r="M19" s="34"/>
      <c r="N19" s="34"/>
      <c r="O19" s="34"/>
      <c r="P19" s="34"/>
    </row>
    <row r="20" spans="1:16" ht="15.75">
      <c r="A20" s="3" t="s">
        <v>0</v>
      </c>
      <c r="B20" s="3"/>
      <c r="C20" s="17" t="s">
        <v>41</v>
      </c>
      <c r="D20" s="16"/>
      <c r="E20" s="16"/>
      <c r="F20" s="16"/>
      <c r="G20" s="18" t="s">
        <v>42</v>
      </c>
      <c r="H20" s="16"/>
      <c r="I20" s="16"/>
      <c r="J20" s="34"/>
      <c r="K20" s="34"/>
      <c r="L20" s="34"/>
      <c r="M20" s="34"/>
      <c r="N20" s="34"/>
      <c r="O20" s="34"/>
      <c r="P20" s="34"/>
    </row>
    <row r="21" spans="1:16" ht="15.75">
      <c r="A21" s="44"/>
      <c r="B21" s="44"/>
      <c r="C21" s="44"/>
      <c r="D21" s="44"/>
      <c r="E21" s="44"/>
      <c r="F21" s="44"/>
      <c r="G21" s="44"/>
      <c r="H21" s="44"/>
      <c r="I21" s="44"/>
    </row>
    <row r="22" spans="1:16" ht="15.75">
      <c r="A22" s="2"/>
      <c r="B22" s="44" t="s">
        <v>7</v>
      </c>
      <c r="C22" s="44"/>
      <c r="D22" s="44"/>
      <c r="E22" s="44"/>
      <c r="F22" s="44"/>
      <c r="G22" s="44"/>
      <c r="H22" s="44"/>
      <c r="I22" s="44"/>
    </row>
    <row r="23" spans="1:16" ht="15.75">
      <c r="A23" s="2"/>
      <c r="B23" s="44" t="s">
        <v>16</v>
      </c>
      <c r="C23" s="44"/>
      <c r="D23" s="44"/>
      <c r="E23" s="44"/>
      <c r="F23" s="44"/>
      <c r="G23" s="44"/>
      <c r="H23" s="44"/>
      <c r="I23" s="44"/>
    </row>
    <row r="25" spans="1:16">
      <c r="A25" s="27"/>
      <c r="B25" s="5"/>
      <c r="C25" s="5"/>
      <c r="D25" s="9"/>
      <c r="E25" s="5"/>
      <c r="F25" s="5"/>
      <c r="G25" s="10"/>
      <c r="H25" s="10"/>
      <c r="I25" s="28"/>
    </row>
    <row r="26" spans="1:16" ht="15.75">
      <c r="A26" s="57" t="s">
        <v>53</v>
      </c>
      <c r="B26" s="45"/>
      <c r="C26" s="45"/>
      <c r="D26" s="45"/>
      <c r="E26" s="45"/>
      <c r="F26" s="45"/>
      <c r="G26" s="45"/>
      <c r="H26" s="45"/>
      <c r="I26" s="58"/>
    </row>
    <row r="27" spans="1:16" ht="15.75">
      <c r="A27" s="24"/>
      <c r="B27" s="8"/>
      <c r="C27" s="5"/>
      <c r="D27" s="8" t="s">
        <v>6</v>
      </c>
      <c r="E27" s="8" t="s">
        <v>11</v>
      </c>
      <c r="F27" s="8" t="s">
        <v>8</v>
      </c>
      <c r="G27" s="8" t="s">
        <v>15</v>
      </c>
      <c r="H27" s="8" t="s">
        <v>9</v>
      </c>
      <c r="I27" s="25" t="s">
        <v>13</v>
      </c>
    </row>
    <row r="28" spans="1:16">
      <c r="A28" s="35" t="s">
        <v>19</v>
      </c>
      <c r="B28" s="36"/>
      <c r="C28" s="37"/>
      <c r="D28" s="19" t="s">
        <v>60</v>
      </c>
      <c r="E28" s="23"/>
      <c r="F28" s="21">
        <v>100</v>
      </c>
      <c r="G28" s="21">
        <f>SUM(F28*0.13)</f>
        <v>13</v>
      </c>
      <c r="H28" s="21">
        <f t="shared" ref="H28:H33" si="0">SUM(F28+G28)</f>
        <v>113</v>
      </c>
      <c r="I28" s="26">
        <f t="shared" ref="I28:I33" si="1">SUM(E28*H28)</f>
        <v>0</v>
      </c>
    </row>
    <row r="29" spans="1:16">
      <c r="A29" s="35" t="s">
        <v>21</v>
      </c>
      <c r="B29" s="36"/>
      <c r="C29" s="37"/>
      <c r="D29" s="20" t="s">
        <v>59</v>
      </c>
      <c r="E29" s="23"/>
      <c r="F29" s="21">
        <v>45.13</v>
      </c>
      <c r="G29" s="21">
        <f>SUM(F29*0.13)</f>
        <v>5.8669000000000002</v>
      </c>
      <c r="H29" s="21">
        <f t="shared" si="0"/>
        <v>50.996900000000004</v>
      </c>
      <c r="I29" s="26">
        <f t="shared" si="1"/>
        <v>0</v>
      </c>
    </row>
    <row r="30" spans="1:16">
      <c r="A30" s="35" t="s">
        <v>20</v>
      </c>
      <c r="B30" s="36"/>
      <c r="C30" s="37"/>
      <c r="D30" s="19" t="s">
        <v>60</v>
      </c>
      <c r="E30" s="23"/>
      <c r="F30" s="21">
        <v>75.22</v>
      </c>
      <c r="G30" s="21">
        <f>SUM(F30*0.13)</f>
        <v>9.7786000000000008</v>
      </c>
      <c r="H30" s="21">
        <f t="shared" si="0"/>
        <v>84.998599999999996</v>
      </c>
      <c r="I30" s="26">
        <f t="shared" si="1"/>
        <v>0</v>
      </c>
    </row>
    <row r="31" spans="1:16">
      <c r="A31" s="35" t="s">
        <v>22</v>
      </c>
      <c r="B31" s="36"/>
      <c r="C31" s="37"/>
      <c r="D31" s="20" t="s">
        <v>59</v>
      </c>
      <c r="E31" s="23"/>
      <c r="F31" s="21">
        <v>36.28</v>
      </c>
      <c r="G31" s="21">
        <f>SUM(F31*0.13)</f>
        <v>4.7164000000000001</v>
      </c>
      <c r="H31" s="21">
        <f t="shared" si="0"/>
        <v>40.996400000000001</v>
      </c>
      <c r="I31" s="26">
        <f t="shared" si="1"/>
        <v>0</v>
      </c>
    </row>
    <row r="32" spans="1:16">
      <c r="A32" s="35" t="s">
        <v>14</v>
      </c>
      <c r="B32" s="36"/>
      <c r="C32" s="37"/>
      <c r="D32" s="19" t="s">
        <v>10</v>
      </c>
      <c r="E32" s="23"/>
      <c r="F32" s="21" t="s">
        <v>18</v>
      </c>
      <c r="G32" s="21" t="s">
        <v>18</v>
      </c>
      <c r="H32" s="21" t="s">
        <v>18</v>
      </c>
      <c r="I32" s="26" t="s">
        <v>18</v>
      </c>
    </row>
    <row r="33" spans="1:9">
      <c r="A33" s="35" t="s">
        <v>23</v>
      </c>
      <c r="B33" s="36"/>
      <c r="C33" s="37"/>
      <c r="D33" s="19" t="s">
        <v>60</v>
      </c>
      <c r="E33" s="23"/>
      <c r="F33" s="21">
        <v>130</v>
      </c>
      <c r="G33" s="21">
        <f>SUM(F33*0.13)</f>
        <v>16.900000000000002</v>
      </c>
      <c r="H33" s="21">
        <f t="shared" si="0"/>
        <v>146.9</v>
      </c>
      <c r="I33" s="26">
        <f t="shared" si="1"/>
        <v>0</v>
      </c>
    </row>
    <row r="34" spans="1:9">
      <c r="A34" s="29"/>
      <c r="B34" s="4"/>
      <c r="C34" s="4"/>
      <c r="D34" s="4"/>
      <c r="E34" s="4"/>
      <c r="F34" s="13"/>
      <c r="G34" s="54" t="s">
        <v>17</v>
      </c>
      <c r="H34" s="54"/>
      <c r="I34" s="30">
        <f>SUM(I28:I33)</f>
        <v>0</v>
      </c>
    </row>
    <row r="35" spans="1:9" ht="49.5" customHeight="1">
      <c r="A35" s="52" t="s">
        <v>49</v>
      </c>
      <c r="B35" s="52"/>
      <c r="C35" s="52"/>
      <c r="D35" s="52"/>
      <c r="E35" s="52"/>
      <c r="F35" s="52"/>
      <c r="G35" s="52"/>
      <c r="H35" s="52"/>
      <c r="I35" s="52"/>
    </row>
    <row r="36" spans="1:9">
      <c r="A36" s="7"/>
      <c r="B36" s="7"/>
      <c r="C36" s="7"/>
      <c r="D36" s="7"/>
      <c r="E36" s="7"/>
      <c r="F36" s="7"/>
      <c r="G36" s="7"/>
      <c r="H36" s="7"/>
      <c r="I36" s="7"/>
    </row>
    <row r="37" spans="1:9" ht="39.75" customHeight="1">
      <c r="A37" s="52" t="s">
        <v>54</v>
      </c>
      <c r="B37" s="52"/>
      <c r="C37" s="52"/>
      <c r="D37" s="52"/>
      <c r="E37" s="52"/>
      <c r="F37" s="52"/>
      <c r="G37" s="52"/>
      <c r="H37" s="52"/>
      <c r="I37" s="52"/>
    </row>
    <row r="38" spans="1:9" ht="69.75" customHeight="1">
      <c r="A38" s="59" t="s">
        <v>28</v>
      </c>
      <c r="B38" s="60"/>
      <c r="C38" s="60"/>
      <c r="D38" s="60"/>
      <c r="E38" s="60"/>
      <c r="F38" s="60"/>
      <c r="G38" s="60"/>
      <c r="H38" s="60"/>
      <c r="I38" s="60"/>
    </row>
    <row r="39" spans="1:9">
      <c r="A39" s="5"/>
      <c r="B39" s="5"/>
      <c r="C39" s="5"/>
      <c r="D39" s="5"/>
      <c r="E39" s="5"/>
      <c r="F39" s="5"/>
      <c r="G39" s="5"/>
      <c r="H39" s="5"/>
      <c r="I39" s="5"/>
    </row>
    <row r="40" spans="1:9" ht="15.75">
      <c r="A40" s="55" t="s">
        <v>55</v>
      </c>
      <c r="B40" s="55"/>
      <c r="C40" s="55"/>
      <c r="D40" s="55"/>
      <c r="E40" s="55"/>
      <c r="F40" s="55"/>
      <c r="G40" s="55"/>
      <c r="H40" s="55"/>
      <c r="I40" s="55"/>
    </row>
    <row r="41" spans="1:9" ht="27" customHeight="1">
      <c r="A41" s="52" t="s">
        <v>57</v>
      </c>
      <c r="B41" s="52"/>
      <c r="C41" s="52"/>
      <c r="D41" s="52"/>
      <c r="E41" s="52"/>
      <c r="F41" s="52"/>
      <c r="G41" s="52"/>
      <c r="H41" s="52"/>
      <c r="I41" s="52"/>
    </row>
    <row r="42" spans="1:9">
      <c r="A42" s="5"/>
      <c r="B42" s="5"/>
      <c r="C42" s="5"/>
      <c r="D42" s="5"/>
      <c r="E42" s="5"/>
      <c r="F42" s="5"/>
      <c r="G42" s="5"/>
      <c r="H42" s="5"/>
      <c r="I42" s="5"/>
    </row>
    <row r="43" spans="1:9">
      <c r="A43" s="36" t="s">
        <v>50</v>
      </c>
      <c r="B43" s="36"/>
      <c r="C43" s="4"/>
      <c r="D43" s="5"/>
      <c r="E43" s="18" t="s">
        <v>24</v>
      </c>
      <c r="F43" s="11" t="s">
        <v>26</v>
      </c>
      <c r="G43" s="4"/>
      <c r="H43" s="5"/>
      <c r="I43" s="5"/>
    </row>
    <row r="44" spans="1:9">
      <c r="A44" s="36" t="s">
        <v>51</v>
      </c>
      <c r="B44" s="36"/>
      <c r="C44" s="4"/>
      <c r="D44" s="5"/>
      <c r="E44" s="18" t="s">
        <v>25</v>
      </c>
      <c r="F44" s="11" t="s">
        <v>27</v>
      </c>
      <c r="G44" s="4"/>
      <c r="H44" s="5"/>
      <c r="I44" s="5"/>
    </row>
    <row r="45" spans="1:9" ht="15.75">
      <c r="A45" s="45"/>
      <c r="B45" s="45"/>
      <c r="C45" s="45"/>
      <c r="D45" s="45"/>
      <c r="E45" s="45"/>
      <c r="F45" s="45"/>
      <c r="G45" s="45"/>
      <c r="H45" s="45"/>
      <c r="I45" s="45"/>
    </row>
    <row r="46" spans="1:9" ht="15.75">
      <c r="A46" s="8"/>
      <c r="B46" s="8"/>
      <c r="C46" s="8" t="s">
        <v>6</v>
      </c>
      <c r="D46" s="8" t="s">
        <v>29</v>
      </c>
      <c r="E46" s="8" t="s">
        <v>36</v>
      </c>
      <c r="F46" s="8" t="s">
        <v>12</v>
      </c>
      <c r="G46" s="8" t="s">
        <v>9</v>
      </c>
      <c r="H46" s="12" t="s">
        <v>37</v>
      </c>
      <c r="I46" s="8" t="s">
        <v>13</v>
      </c>
    </row>
    <row r="47" spans="1:9">
      <c r="A47" s="41" t="s">
        <v>30</v>
      </c>
      <c r="B47" s="41"/>
      <c r="C47" s="19" t="s">
        <v>60</v>
      </c>
      <c r="D47" s="23"/>
      <c r="E47" s="21">
        <v>9.73</v>
      </c>
      <c r="F47" s="21">
        <f>SUM(E47*0.13)</f>
        <v>1.2649000000000001</v>
      </c>
      <c r="G47" s="21">
        <v>11</v>
      </c>
      <c r="H47" s="23"/>
      <c r="I47" s="21">
        <f>SUM(D47*G47*H47)</f>
        <v>0</v>
      </c>
    </row>
    <row r="48" spans="1:9">
      <c r="A48" s="41" t="s">
        <v>31</v>
      </c>
      <c r="B48" s="41"/>
      <c r="C48" s="20" t="s">
        <v>59</v>
      </c>
      <c r="D48" s="23"/>
      <c r="E48" s="21">
        <v>5</v>
      </c>
      <c r="F48" s="21">
        <f>SUM(E48*0.13)</f>
        <v>0.65</v>
      </c>
      <c r="G48" s="21">
        <f>SUM(E48+F48)</f>
        <v>5.65</v>
      </c>
      <c r="H48" s="23"/>
      <c r="I48" s="21">
        <f>SUM(D48*G48*H48)</f>
        <v>0</v>
      </c>
    </row>
    <row r="49" spans="1:9">
      <c r="A49" s="41" t="s">
        <v>32</v>
      </c>
      <c r="B49" s="41"/>
      <c r="C49" s="19" t="s">
        <v>34</v>
      </c>
      <c r="D49" s="23"/>
      <c r="E49" s="21" t="s">
        <v>18</v>
      </c>
      <c r="F49" s="21" t="s">
        <v>18</v>
      </c>
      <c r="G49" s="21" t="s">
        <v>18</v>
      </c>
      <c r="H49" s="23"/>
      <c r="I49" s="21" t="s">
        <v>18</v>
      </c>
    </row>
    <row r="50" spans="1:9">
      <c r="A50" s="41" t="s">
        <v>33</v>
      </c>
      <c r="B50" s="41"/>
      <c r="C50" s="20"/>
      <c r="D50" s="23"/>
      <c r="E50" s="21">
        <v>22.12</v>
      </c>
      <c r="F50" s="21">
        <f>SUM(E50*0.13)</f>
        <v>2.8756000000000004</v>
      </c>
      <c r="G50" s="21">
        <f>SUM(E50+F50)</f>
        <v>24.995600000000003</v>
      </c>
      <c r="H50" s="23"/>
      <c r="I50" s="21">
        <f>SUM(D50*G50*H50)</f>
        <v>0</v>
      </c>
    </row>
    <row r="51" spans="1:9">
      <c r="A51" s="5" t="s">
        <v>38</v>
      </c>
      <c r="B51" s="5"/>
      <c r="C51" s="20" t="s">
        <v>59</v>
      </c>
      <c r="D51" s="23"/>
      <c r="E51" s="21">
        <v>2.65</v>
      </c>
      <c r="F51" s="21">
        <f>SUM(E51*0.13)</f>
        <v>0.34449999999999997</v>
      </c>
      <c r="G51" s="21">
        <v>3</v>
      </c>
      <c r="H51" s="23"/>
      <c r="I51" s="21">
        <f>SUM(D51*G51*H51)</f>
        <v>0</v>
      </c>
    </row>
    <row r="52" spans="1:9">
      <c r="A52" s="5" t="s">
        <v>35</v>
      </c>
      <c r="B52" s="5"/>
      <c r="C52" s="20"/>
      <c r="D52" s="23"/>
      <c r="E52" s="21">
        <v>9.73</v>
      </c>
      <c r="F52" s="21">
        <f>SUM(E52*0.13)</f>
        <v>1.2649000000000001</v>
      </c>
      <c r="G52" s="21">
        <v>11</v>
      </c>
      <c r="H52" s="23"/>
      <c r="I52" s="21">
        <f>SUM(D52*G52*H52)</f>
        <v>0</v>
      </c>
    </row>
    <row r="53" spans="1:9">
      <c r="A53" s="5"/>
      <c r="B53" s="5"/>
      <c r="C53" s="5"/>
      <c r="D53" s="5"/>
      <c r="E53" s="5"/>
      <c r="G53" s="10" t="s">
        <v>17</v>
      </c>
      <c r="I53" s="22">
        <f>SUM(I47:I52)</f>
        <v>0</v>
      </c>
    </row>
    <row r="54" spans="1:9">
      <c r="A54" s="39" t="s">
        <v>58</v>
      </c>
      <c r="B54" s="39"/>
      <c r="C54" s="39"/>
      <c r="D54" s="39"/>
      <c r="E54" s="39"/>
      <c r="F54" s="39"/>
      <c r="G54" s="39"/>
      <c r="H54" s="39"/>
      <c r="I54" s="39"/>
    </row>
    <row r="55" spans="1:9">
      <c r="A55" s="52"/>
      <c r="B55" s="52"/>
      <c r="C55" s="52"/>
      <c r="D55" s="52"/>
      <c r="E55" s="52"/>
      <c r="F55" s="52"/>
      <c r="G55" s="52"/>
      <c r="H55" s="52"/>
      <c r="I55" s="52"/>
    </row>
    <row r="56" spans="1:9" ht="15.75">
      <c r="A56" s="1"/>
    </row>
    <row r="57" spans="1:9" ht="15.75">
      <c r="A57" s="1"/>
    </row>
    <row r="58" spans="1:9" ht="15.75">
      <c r="A58" s="1"/>
    </row>
    <row r="59" spans="1:9" ht="15.75">
      <c r="A59" s="1"/>
    </row>
    <row r="60" spans="1:9" ht="15.75">
      <c r="A60" s="1"/>
    </row>
    <row r="61" spans="1:9" ht="15.75">
      <c r="A61" s="1"/>
    </row>
    <row r="62" spans="1:9" ht="15.75">
      <c r="A62" s="1"/>
    </row>
    <row r="63" spans="1:9" ht="15.75">
      <c r="A63" s="1"/>
    </row>
    <row r="64" spans="1:9" ht="15.75" customHeight="1">
      <c r="A64" s="56" t="s">
        <v>56</v>
      </c>
      <c r="B64" s="56"/>
      <c r="C64" s="56"/>
      <c r="D64" s="56"/>
      <c r="E64" s="56"/>
      <c r="F64" s="56"/>
      <c r="G64" s="56"/>
      <c r="H64" s="56"/>
      <c r="I64" s="56"/>
    </row>
    <row r="65" spans="1:9" ht="15.75" customHeight="1">
      <c r="A65" s="56"/>
      <c r="B65" s="56"/>
      <c r="C65" s="56"/>
      <c r="D65" s="56"/>
      <c r="E65" s="56"/>
      <c r="F65" s="56"/>
      <c r="G65" s="56"/>
      <c r="H65" s="56"/>
      <c r="I65" s="56"/>
    </row>
    <row r="66" spans="1:9" ht="7.5" customHeight="1">
      <c r="A66" s="56"/>
      <c r="B66" s="56"/>
      <c r="C66" s="56"/>
      <c r="D66" s="56"/>
      <c r="E66" s="56"/>
      <c r="F66" s="56"/>
      <c r="G66" s="56"/>
      <c r="H66" s="56"/>
      <c r="I66" s="56"/>
    </row>
  </sheetData>
  <mergeCells count="47">
    <mergeCell ref="A64:I66"/>
    <mergeCell ref="A26:I26"/>
    <mergeCell ref="A41:I41"/>
    <mergeCell ref="A37:I37"/>
    <mergeCell ref="A38:I38"/>
    <mergeCell ref="A55:I55"/>
    <mergeCell ref="A44:B44"/>
    <mergeCell ref="A47:B47"/>
    <mergeCell ref="A48:B48"/>
    <mergeCell ref="A1:I1"/>
    <mergeCell ref="A2:I2"/>
    <mergeCell ref="A3:I3"/>
    <mergeCell ref="A4:I4"/>
    <mergeCell ref="A6:B6"/>
    <mergeCell ref="A5:I5"/>
    <mergeCell ref="A7:I7"/>
    <mergeCell ref="B10:I10"/>
    <mergeCell ref="B11:C11"/>
    <mergeCell ref="E11:F11"/>
    <mergeCell ref="C6:I6"/>
    <mergeCell ref="H11:I11"/>
    <mergeCell ref="C8:I8"/>
    <mergeCell ref="A8:B8"/>
    <mergeCell ref="B12:I12"/>
    <mergeCell ref="A43:B43"/>
    <mergeCell ref="A33:C33"/>
    <mergeCell ref="B18:H18"/>
    <mergeCell ref="A49:B49"/>
    <mergeCell ref="A29:C29"/>
    <mergeCell ref="A45:I45"/>
    <mergeCell ref="A14:H14"/>
    <mergeCell ref="B22:I22"/>
    <mergeCell ref="A35:I35"/>
    <mergeCell ref="A21:I21"/>
    <mergeCell ref="B15:H15"/>
    <mergeCell ref="B16:H16"/>
    <mergeCell ref="B17:H17"/>
    <mergeCell ref="B23:I23"/>
    <mergeCell ref="G34:H34"/>
    <mergeCell ref="A31:C31"/>
    <mergeCell ref="A32:C32"/>
    <mergeCell ref="A28:C28"/>
    <mergeCell ref="B13:I13"/>
    <mergeCell ref="A54:I54"/>
    <mergeCell ref="A50:B50"/>
    <mergeCell ref="A30:C30"/>
    <mergeCell ref="A40:I40"/>
  </mergeCells>
  <phoneticPr fontId="3" type="noConversion"/>
  <pageMargins left="0.75" right="0.75" top="1" bottom="1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INAC-AINC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PEARCEM</dc:creator>
  <cp:lastModifiedBy>Maryanne</cp:lastModifiedBy>
  <cp:lastPrinted>2011-03-10T23:39:17Z</cp:lastPrinted>
  <dcterms:created xsi:type="dcterms:W3CDTF">2010-02-22T16:34:06Z</dcterms:created>
  <dcterms:modified xsi:type="dcterms:W3CDTF">2011-05-15T21:02:29Z</dcterms:modified>
</cp:coreProperties>
</file>